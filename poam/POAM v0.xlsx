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2ee9bsf\Documents\00 Workspace\DXR\poam\"/>
    </mc:Choice>
  </mc:AlternateContent>
  <xr:revisionPtr revIDLastSave="0" documentId="13_ncr:1_{0426BD65-569C-441D-B5F0-56BC92BC0611}" xr6:coauthVersionLast="47" xr6:coauthVersionMax="47" xr10:uidLastSave="{00000000-0000-0000-0000-000000000000}"/>
  <bookViews>
    <workbookView xWindow="-120" yWindow="-90" windowWidth="29040" windowHeight="15690" firstSheet="1" activeTab="3" xr2:uid="{E032D37B-1977-4533-8665-27725D762312}"/>
  </bookViews>
  <sheets>
    <sheet name="Chars" sheetId="2" state="hidden" r:id="rId1"/>
    <sheet name="Lists" sheetId="3" r:id="rId2"/>
    <sheet name="POAM" sheetId="1" r:id="rId3"/>
    <sheet name="Plann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3" l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2" i="3"/>
  <c r="C3" i="2"/>
  <c r="C4" i="2"/>
  <c r="C5" i="2"/>
  <c r="C6" i="2"/>
  <c r="C2" i="2"/>
</calcChain>
</file>

<file path=xl/sharedStrings.xml><?xml version="1.0" encoding="utf-8"?>
<sst xmlns="http://schemas.openxmlformats.org/spreadsheetml/2006/main" count="369" uniqueCount="369">
  <si>
    <t>ID</t>
  </si>
  <si>
    <t>Category</t>
  </si>
  <si>
    <t>Subject</t>
  </si>
  <si>
    <t>Item</t>
  </si>
  <si>
    <t>Notes</t>
  </si>
  <si>
    <t>Action</t>
  </si>
  <si>
    <t>Status</t>
  </si>
  <si>
    <t>POAM Register</t>
  </si>
  <si>
    <t>Long lead items</t>
  </si>
  <si>
    <t>Phasing</t>
  </si>
  <si>
    <t>GFGI, GFCI, CFCI</t>
  </si>
  <si>
    <t>Waivers/Exemptions</t>
  </si>
  <si>
    <t>J/As</t>
  </si>
  <si>
    <t>Utility conflicts</t>
  </si>
  <si>
    <t>Environmental concerns</t>
  </si>
  <si>
    <t>CLINs/Bid options</t>
  </si>
  <si>
    <t>Code triggers</t>
  </si>
  <si>
    <t>Construction practice differences</t>
  </si>
  <si>
    <t>Acceptable alternatives</t>
  </si>
  <si>
    <t>DD1391 compliance (scope, budget, etc.)</t>
  </si>
  <si>
    <t>CSRA</t>
  </si>
  <si>
    <t>MCX or COS involvement</t>
  </si>
  <si>
    <t>SCIF/SIPRNet/NIPRNet</t>
  </si>
  <si>
    <t>Paperwork/Submittal deficiencies</t>
  </si>
  <si>
    <t>QCP</t>
  </si>
  <si>
    <t>PMP</t>
  </si>
  <si>
    <t>Risk register</t>
  </si>
  <si>
    <t>POAM</t>
  </si>
  <si>
    <t>RFI log</t>
  </si>
  <si>
    <t>ECIFP</t>
  </si>
  <si>
    <t>Host Nation (civil) influence, dependancies, requirements</t>
  </si>
  <si>
    <t>Adjacency influence or dependencies</t>
  </si>
  <si>
    <t>Must match/integrate with existing</t>
  </si>
  <si>
    <t>Drawing issues</t>
  </si>
  <si>
    <t>Spec issues</t>
  </si>
  <si>
    <t>QC documentation</t>
  </si>
  <si>
    <t>Design Analysis</t>
  </si>
  <si>
    <t>PDCR</t>
  </si>
  <si>
    <t>MRCI</t>
  </si>
  <si>
    <t>Hazmat</t>
  </si>
  <si>
    <t>Geotechnical</t>
  </si>
  <si>
    <t>Investigations</t>
  </si>
  <si>
    <t>Topo</t>
  </si>
  <si>
    <t>┣</t>
  </si>
  <si>
    <t>┗</t>
  </si>
  <si>
    <t>┃</t>
  </si>
  <si>
    <t>━</t>
  </si>
  <si>
    <t>┳</t>
  </si>
  <si>
    <t>Char</t>
  </si>
  <si>
    <t>Unicode</t>
  </si>
  <si>
    <t>Hex</t>
  </si>
  <si>
    <t>Seismic assessement (ASCE 41)</t>
  </si>
  <si>
    <t>UXO</t>
  </si>
  <si>
    <t>Cultural studies</t>
  </si>
  <si>
    <t>Historic considerations</t>
  </si>
  <si>
    <t>DD1354 - Property transfer</t>
  </si>
  <si>
    <t>As-builts and existing data</t>
  </si>
  <si>
    <t>Local US requirementes</t>
  </si>
  <si>
    <t>Blast protection design</t>
  </si>
  <si>
    <t>Explosive safety review/certification</t>
  </si>
  <si>
    <t>Blast arc encumberance</t>
  </si>
  <si>
    <t>Physical security</t>
  </si>
  <si>
    <t>ATFP</t>
  </si>
  <si>
    <t>ABA/ADA influences</t>
  </si>
  <si>
    <t>Deep foundations</t>
  </si>
  <si>
    <t>Soil improvements</t>
  </si>
  <si>
    <t>Dewatering</t>
  </si>
  <si>
    <t>Site approval constraints/requirements</t>
  </si>
  <si>
    <t>Site drainage plans</t>
  </si>
  <si>
    <t>Height restrictions</t>
  </si>
  <si>
    <t>Commissioning</t>
  </si>
  <si>
    <t>Third-party certification</t>
  </si>
  <si>
    <t>OPR (JDDG Sec. 18.4)</t>
  </si>
  <si>
    <t>Electric power requirements</t>
  </si>
  <si>
    <t>Cyber for Facility Related Constrol Systems (FRCS)</t>
  </si>
  <si>
    <t>Cybersecurity</t>
  </si>
  <si>
    <t>Operations and Maintenance Support Information (OMSI)</t>
  </si>
  <si>
    <t>General</t>
  </si>
  <si>
    <t>Construction</t>
  </si>
  <si>
    <t>Special equipment requirements</t>
  </si>
  <si>
    <t>Disciplines</t>
  </si>
  <si>
    <t>Architectural</t>
  </si>
  <si>
    <t>Civil</t>
  </si>
  <si>
    <t>Contracting</t>
  </si>
  <si>
    <t>Electrical</t>
  </si>
  <si>
    <t>Environmental</t>
  </si>
  <si>
    <t>Equipment</t>
  </si>
  <si>
    <t>Mechanical</t>
  </si>
  <si>
    <t>Plumbing</t>
  </si>
  <si>
    <t>Structural</t>
  </si>
  <si>
    <t>Landscape</t>
  </si>
  <si>
    <t>Telecomm</t>
  </si>
  <si>
    <t>Interiors</t>
  </si>
  <si>
    <t>Cultural</t>
  </si>
  <si>
    <t>Count</t>
  </si>
  <si>
    <t>Ref</t>
  </si>
  <si>
    <t> ┣ Basic characterization</t>
  </si>
  <si>
    <t> ┣ GPR</t>
  </si>
  <si>
    <t> ┗ Shearwave velocity testing, etc.</t>
  </si>
  <si>
    <t> ┣ Surface terrain features</t>
  </si>
  <si>
    <t> ┣ Utility locates</t>
  </si>
  <si>
    <t> ┗ Bathymetry</t>
  </si>
  <si>
    <t> ┣ Service component</t>
  </si>
  <si>
    <t> ┣ Installation policies</t>
  </si>
  <si>
    <t> ┗ Unit policies</t>
  </si>
  <si>
    <t xml:space="preserve"> ┣ Energy Management and Control Systems (EMCS) </t>
  </si>
  <si>
    <t> ┣ Utility Monitoring and Control Systems (UMCS)</t>
  </si>
  <si>
    <t> ┣ Electronic Security Systems (ESS)</t>
  </si>
  <si>
    <t> ┣ Building Automation Systems (BAC)</t>
  </si>
  <si>
    <t> ┣ Supervisory Control and Data Acquisition (SCADA) systems</t>
  </si>
  <si>
    <t> ┣ HVAC Direct Digital Controls (DDC) Controls</t>
  </si>
  <si>
    <t> ┣ Network Utility Control Systems</t>
  </si>
  <si>
    <t> ┣ IP-based Smart Meters</t>
  </si>
  <si>
    <t> ┣ IP-based lighting control systems</t>
  </si>
  <si>
    <t> ┣ IP-based public clock systems</t>
  </si>
  <si>
    <t> ┣ IP-based photovoltaic (PV) system monitoring</t>
  </si>
  <si>
    <t> ┗ Fire alarm reporting systems</t>
  </si>
  <si>
    <t># Proto-POAM Ideas</t>
  </si>
  <si>
    <t>### Design Concerns</t>
  </si>
  <si>
    <t>- Contract vehicle-related mentality</t>
  </si>
  <si>
    <t>    - DBB</t>
  </si>
  <si>
    <t>    - DB</t>
  </si>
  <si>
    <t>- Funding source constraints</t>
  </si>
  <si>
    <t>    - Host-Nation</t>
  </si>
  <si>
    <t>    - MILCON</t>
  </si>
  <si>
    <t>        - Army: MILCON Code 2 Process &amp; MRSI Wizard (https://mrsi.erdc.dren.mil/code2/)</t>
  </si>
  <si>
    <t>    - SRM</t>
  </si>
  <si>
    <t>    - O&amp;M</t>
  </si>
  <si>
    <t>    - NAF</t>
  </si>
  <si>
    <t>    - Other</t>
  </si>
  <si>
    <t>- Cost Estimate Concerns</t>
  </si>
  <si>
    <t>    - CWE exceeds PA by 10%</t>
  </si>
  <si>
    <t>    - CWE under PA by...</t>
  </si>
  <si>
    <t xml:space="preserve">- Long lead items </t>
  </si>
  <si>
    <t>- Spare parts</t>
  </si>
  <si>
    <t>- Phasing</t>
  </si>
  <si>
    <t>- Bid Options/CLINs</t>
  </si>
  <si>
    <t>- GFCI or GFGI</t>
  </si>
  <si>
    <t>- FF&amp;E</t>
  </si>
  <si>
    <t>    - Huntsville Furniture Program (https://mrsi.erdc.dren.mil/furniture/) - part of Military Installation Design Support TCX</t>
  </si>
  <si>
    <t>- Special equipment installed</t>
  </si>
  <si>
    <t>- Special equipment to build</t>
  </si>
  <si>
    <t>- Waiver/exemptions: design requires UFC exemptions (planning premised on seeking UFC exceptions)</t>
  </si>
  <si>
    <t>- J/As</t>
  </si>
  <si>
    <t>    - Existing J/As</t>
  </si>
  <si>
    <t>    - Expiration dates of J/As</t>
  </si>
  <si>
    <t>    - Needed J/As</t>
  </si>
  <si>
    <t>- Site approval requirements</t>
  </si>
  <si>
    <t>- Utility conflicts</t>
  </si>
  <si>
    <t>- Environmental concerns</t>
  </si>
  <si>
    <t>- [[Code Triggers]]</t>
  </si>
  <si>
    <t>    - Life Safety: UFC 1-200-01, Sec. 302.1.1: NFPA 101 compliance?</t>
  </si>
  <si>
    <t>    - Seismic Assessment (30% UFC 3-301-01)</t>
  </si>
  <si>
    <t>    - ATFP (cf. UFC 1-200-01, Sec. 302.2.3), 50%</t>
  </si>
  <si>
    <t>    - Progressive Collapse (UFC 4-010-01)</t>
  </si>
  <si>
    <t>    - Sustainability (cf. UFC 1-200-01, Sec. 302.2.2, Table 1-1 and Ch. 2)</t>
  </si>
  <si>
    <t>    - Phasing (UFC 1-200-01, Sec. 3-3, 302.2.7 (cf. UFC 3-701-01))</t>
  </si>
  <si>
    <t>    - Fire Protection:</t>
  </si>
  <si>
    <t>        - UFC 1-200-01, 302.2.5 (50% replacement cost)</t>
  </si>
  <si>
    <t>        - Sec. 3-8.2.1 (50% floor plan) or 3-8.3.1</t>
  </si>
  <si>
    <t>- Construction practice differences</t>
  </si>
  <si>
    <t xml:space="preserve">- Acceptable alternatives </t>
  </si>
  <si>
    <t xml:space="preserve">- DD1391 compliance </t>
  </si>
  <si>
    <t xml:space="preserve">    - Scope </t>
  </si>
  <si>
    <t xml:space="preserve">    - Budget </t>
  </si>
  <si>
    <t>    - CSRA</t>
  </si>
  <si>
    <t>    - Navy: Consistency Review Board (CRB) comment and review</t>
  </si>
  <si>
    <t>- MCX or COS involvement (see below)</t>
  </si>
  <si>
    <t>- SCIF/SIPRNet/NIPRNet</t>
  </si>
  <si>
    <t>- Paperwork/Submittal deficiencies</t>
  </si>
  <si>
    <t xml:space="preserve">- Host Nation (civil) influence/dependencies/requirements </t>
  </si>
  <si>
    <t xml:space="preserve">- Adjacency influence/dependencies </t>
  </si>
  <si>
    <t xml:space="preserve">- Must match/integrate with existing </t>
  </si>
  <si>
    <t xml:space="preserve">- Drawing issues </t>
  </si>
  <si>
    <t>- Specs issues</t>
  </si>
  <si>
    <t xml:space="preserve">- QC documentation </t>
  </si>
  <si>
    <t>- ECIFP</t>
  </si>
  <si>
    <t>- DA</t>
  </si>
  <si>
    <t>- Investigations</t>
  </si>
  <si>
    <t>    - Hazmat</t>
  </si>
  <si>
    <t>    - Geotechnical</t>
  </si>
  <si>
    <t xml:space="preserve">        - Basic characterisation </t>
  </si>
  <si>
    <t>        - GPR</t>
  </si>
  <si>
    <t xml:space="preserve">        - Shear wave velocity testing </t>
  </si>
  <si>
    <t>    - Topo</t>
  </si>
  <si>
    <t>    - Utilities locates</t>
  </si>
  <si>
    <t xml:space="preserve">    - Seismic Assessment </t>
  </si>
  <si>
    <t>- Known HAZMAT concerns</t>
  </si>
  <si>
    <t>    - ACM</t>
  </si>
  <si>
    <t>    - Lead/PCB</t>
  </si>
  <si>
    <t>    - Arsenic</t>
  </si>
  <si>
    <t>    - Radon</t>
  </si>
  <si>
    <t>- UXO</t>
  </si>
  <si>
    <t xml:space="preserve">- Cultural studies </t>
  </si>
  <si>
    <t>- Historic considerations</t>
  </si>
  <si>
    <t>- DD1354 - property transfer</t>
  </si>
  <si>
    <t>- As-builts and existing data</t>
  </si>
  <si>
    <t>- Local US requirements</t>
  </si>
  <si>
    <t xml:space="preserve">    - Service component </t>
  </si>
  <si>
    <t xml:space="preserve">    - Installation </t>
  </si>
  <si>
    <t>    - Unit</t>
  </si>
  <si>
    <t>- Blast protection design</t>
  </si>
  <si>
    <t>- Explosive safety review/certification</t>
  </si>
  <si>
    <t xml:space="preserve">- Blast arc encumbrance </t>
  </si>
  <si>
    <t>- Physical security</t>
  </si>
  <si>
    <t>- ABA/ADA considerations</t>
  </si>
  <si>
    <t>    - Building compliance</t>
  </si>
  <si>
    <t>    - Site compliance</t>
  </si>
  <si>
    <t xml:space="preserve">- Deep foundations </t>
  </si>
  <si>
    <t>- Soil improvements</t>
  </si>
  <si>
    <t xml:space="preserve">- Site approval constraints and requirements </t>
  </si>
  <si>
    <t>- Site drainage plans</t>
  </si>
  <si>
    <t xml:space="preserve">- Height Restrictions </t>
  </si>
  <si>
    <t>- Commissioning requirements</t>
  </si>
  <si>
    <t>- Third party certification</t>
  </si>
  <si>
    <t>- OPR (JDDG 18.4)</t>
  </si>
  <si>
    <t>- Electrical power requirements</t>
  </si>
  <si>
    <t>- Cyber for Facility Related Control Systems</t>
  </si>
  <si>
    <t xml:space="preserve">    - Energy Management and Control Systems (EMCS) </t>
  </si>
  <si>
    <t>    - Utility Monitoring and Control Systems (UMCS)</t>
  </si>
  <si>
    <t>    - Electronic Security Systems (ESS)</t>
  </si>
  <si>
    <t>    - Building Automation Systems (BAC)</t>
  </si>
  <si>
    <t>    - Supervisory Control and Data Acquisition (SCADA) systems</t>
  </si>
  <si>
    <t>    - HVAC Direct Digital Controls (DDC) Controls</t>
  </si>
  <si>
    <t>    - Network Utility Control Systems</t>
  </si>
  <si>
    <t>    - IP-based Smart Meters</t>
  </si>
  <si>
    <t>    - IP-based lighting control systems</t>
  </si>
  <si>
    <t>    - IP-based public clock systems</t>
  </si>
  <si>
    <t>    - IP-based photovoltaic (PV) system monitoring</t>
  </si>
  <si>
    <t>    - Fire alarm reporting systems</t>
  </si>
  <si>
    <t>- Operations and Maintenance Support Information (OMSI)</t>
  </si>
  <si>
    <t>### Performance Concerns</t>
  </si>
  <si>
    <t>- Design Phases</t>
  </si>
  <si>
    <t>    - Design submittals skipped (e.g. 35%, 65%, etc.)?</t>
  </si>
  <si>
    <t>- Design Submittals</t>
  </si>
  <si>
    <t>    - Rejected submissions</t>
  </si>
  <si>
    <t>    - Delayed submissions</t>
  </si>
  <si>
    <t>- Design Delays causing delay in acquistion schedule</t>
  </si>
  <si>
    <t>    - During design</t>
  </si>
  <si>
    <t>    - During bidder inquiry phase</t>
  </si>
  <si>
    <t>- DQCP</t>
  </si>
  <si>
    <t>    - No Design QC Plan</t>
  </si>
  <si>
    <t>    - Rejected DQCP</t>
  </si>
  <si>
    <t>    - A/E not adhering to DQCP</t>
  </si>
  <si>
    <t>- Site Investigation Work and Safety Plan</t>
  </si>
  <si>
    <t>- CPS (Construction Phase Services) contract</t>
  </si>
  <si>
    <t>    - No CPS task order for A/E</t>
  </si>
  <si>
    <t>    - Does project complexity warrent CPS?</t>
  </si>
  <si>
    <t>- Reports of possible E/O</t>
  </si>
  <si>
    <t>### MCX/TCX/COS Involvement</t>
  </si>
  <si>
    <t>- USACE Centers of Expertise (https://mrsi.erdc.dren.mil/coe/), ER 1110-1-8158</t>
  </si>
  <si>
    <t>- Mandatory Centers of Expertise (MCX)</t>
  </si>
  <si>
    <t>    - Centers of Standardization</t>
  </si>
  <si>
    <t>        - Fort Worth</t>
  </si>
  <si>
    <t>            - Advanced Individual Training Complex</t>
  </si>
  <si>
    <t>            - Basic Training and One Station Unit Training Complex</t>
  </si>
  <si>
    <t>            - Central Issue Facility</t>
  </si>
  <si>
    <t>            - General Purpose Warehouse</t>
  </si>
  <si>
    <t>            - Institutional Post-Initial Military Training Unaccompanied Housing</t>
  </si>
  <si>
    <t>            - Permanent Party Unaccompanied Housing</t>
  </si>
  <si>
    <t>            - Reception Barracks</t>
  </si>
  <si>
    <t>            - Unit Supply Support Activity Facility</t>
  </si>
  <si>
    <t>        - Huntsville</t>
  </si>
  <si>
    <t>            - Child Development - School Age Center (SAC)</t>
  </si>
  <si>
    <t>            - Child Development Center - Less than 6 Years of Age</t>
  </si>
  <si>
    <t>            - Fire Station</t>
  </si>
  <si>
    <t>            - Physical Fitness Center</t>
  </si>
  <si>
    <t>            - Soldier Performance Readiness Center</t>
  </si>
  <si>
    <t>            - Youth Center</t>
  </si>
  <si>
    <t>        - Louisville</t>
  </si>
  <si>
    <t>            - Judicial Center with Courtroom</t>
  </si>
  <si>
    <t>            - Operational Readiness Training Complex</t>
  </si>
  <si>
    <t>            - Senior Leaders Quarters</t>
  </si>
  <si>
    <t>        - Middle East</t>
  </si>
  <si>
    <t>            - Administration</t>
  </si>
  <si>
    <t>            - Billeting</t>
  </si>
  <si>
    <t>            - Briefing/Assembly/Classroom</t>
  </si>
  <si>
    <t>            - Dining</t>
  </si>
  <si>
    <t>            - Envelopes</t>
  </si>
  <si>
    <t>            - Fire Station (temporary/semi-permanent)</t>
  </si>
  <si>
    <t>            - Force Protection</t>
  </si>
  <si>
    <t>            - Headquarters</t>
  </si>
  <si>
    <t>            - Joint Operation Center</t>
  </si>
  <si>
    <t>            - Latrine</t>
  </si>
  <si>
    <t>            - Laundry</t>
  </si>
  <si>
    <t>            - Low Density Barracks (Officer Quarters)</t>
  </si>
  <si>
    <t>            - Medical</t>
  </si>
  <si>
    <t>            - MWR-Fitness</t>
  </si>
  <si>
    <t>            - Religious</t>
  </si>
  <si>
    <t>            - Tactical Operation Center</t>
  </si>
  <si>
    <t>            - Weapon Storage</t>
  </si>
  <si>
    <t>        - Mobile</t>
  </si>
  <si>
    <t>            - Aircraft Clear Water Rinse Facility</t>
  </si>
  <si>
    <t>            - Fixed Wing Aviation Unit Aircraft Maintenance Hangar</t>
  </si>
  <si>
    <t>            - Tactical Unmanned Aircraft Systems Maintenance Hangar</t>
  </si>
  <si>
    <t>            - TDA Aviation Unit Aircraft Maintenance Hangar</t>
  </si>
  <si>
    <t>            - TOE Rotary Wing Aviation Battalion Aircraft Maintenance Hangar</t>
  </si>
  <si>
    <t>        - Norfolk</t>
  </si>
  <si>
    <t>            - Army Family Housing</t>
  </si>
  <si>
    <t>            - Automation-Aided Instruction</t>
  </si>
  <si>
    <t>            - Criminal Investigation Command</t>
  </si>
  <si>
    <t>            - Enlisted Personnel Dining Facility (EPDF)</t>
  </si>
  <si>
    <t>            - General Instruction Building</t>
  </si>
  <si>
    <t>            - Information Systems Facility</t>
  </si>
  <si>
    <t>            - Non-Commissioned Officer Academy</t>
  </si>
  <si>
    <t>        - Omaha</t>
  </si>
  <si>
    <t>            - Access Control Points</t>
  </si>
  <si>
    <t>            - Chapels</t>
  </si>
  <si>
    <t>            - Family Life Center</t>
  </si>
  <si>
    <t>            - Initial Entry Training Chapels</t>
  </si>
  <si>
    <t>            - Religious Education Facility</t>
  </si>
  <si>
    <t>        - Savannah</t>
  </si>
  <si>
    <t>            - Air Operations Building and Air Traffic Control Tower (AOB/ATCT)</t>
  </si>
  <si>
    <t>            - BattleField Weather Support Facility</t>
  </si>
  <si>
    <t>            - Brigade/Battalion Headquarters</t>
  </si>
  <si>
    <t>            - Company Operations Facility</t>
  </si>
  <si>
    <t>            - Echelons Above Brigade Command &amp; Control Facility</t>
  </si>
  <si>
    <t>            - General Purpose Maintenance Facility - Logistics Readiness Center</t>
  </si>
  <si>
    <t>            - Tactical Equipment Maintenance Facility</t>
  </si>
  <si>
    <t>    - Control System Cybersecurity</t>
  </si>
  <si>
    <t>    - Cost Engineering Center of Expertise</t>
  </si>
  <si>
    <t>    - Critical Infrastructure Cybersecurity UCIC</t>
  </si>
  <si>
    <t>    - Curation/Mgmt Archaeological Collections</t>
  </si>
  <si>
    <t>    - Dam Safety Modification</t>
  </si>
  <si>
    <t>    - Electronic Security Systems</t>
  </si>
  <si>
    <t>    - Environmental and Munitions</t>
  </si>
  <si>
    <t>    - Facilities Explosives Safety</t>
  </si>
  <si>
    <t>    - Fuel Facilities (Petroleum, Oils and Lubricants)</t>
  </si>
  <si>
    <t>    - Homeowners Assistance Program (HAP)</t>
  </si>
  <si>
    <t>    - Hydroelectric Design Center</t>
  </si>
  <si>
    <t>    - Inland Navigation Design Center</t>
  </si>
  <si>
    <t>    - Marine Design Center</t>
  </si>
  <si>
    <t>    - Medical Facilities</t>
  </si>
  <si>
    <t>    - Missile Defense Mandatory Center of Expertise and Standardization</t>
  </si>
  <si>
    <t>    - Modeling, Mapping &amp; Consequences Production Center</t>
  </si>
  <si>
    <t>    - Protective Design Center (PDC)</t>
  </si>
  <si>
    <t>    - Range Training Land Program (RTLP)</t>
  </si>
  <si>
    <t>    - Risk Management Center</t>
  </si>
  <si>
    <t>    - Sign Standards Program</t>
  </si>
  <si>
    <t>    - Transportation Systems Center (TSMCX)</t>
  </si>
  <si>
    <t>    - Utility Monitoring &amp; Control System</t>
  </si>
  <si>
    <t>- Technical Centers of Expertise (TCX)</t>
  </si>
  <si>
    <t>    - Aircraft Hangar Fire Protection</t>
  </si>
  <si>
    <t>    - CAD/BIM Technology Center</t>
  </si>
  <si>
    <t>    - Collaboration &amp; Public Participation Center</t>
  </si>
  <si>
    <t>    - Corrosion Control &amp; Cathodic Protection</t>
  </si>
  <si>
    <t>    - DD1391/Eng Form 3086 Review Center</t>
  </si>
  <si>
    <t>    - DoD National Relocation Program (DNRP)</t>
  </si>
  <si>
    <t>    - Facility Systems Safety (FASS)</t>
  </si>
  <si>
    <t>    - Heating, Ventilating, &amp; Air Conditioning</t>
  </si>
  <si>
    <t>    - Historic Structures &amp; Buildings</t>
  </si>
  <si>
    <t>    - Historical Photographic Analysis *NEW*</t>
  </si>
  <si>
    <t>    - Hydroelectric Design Center Pumping Plant Design</t>
  </si>
  <si>
    <t>    - Hydrologic Engineering Center (HEC)</t>
  </si>
  <si>
    <t>    - Installation Support</t>
  </si>
  <si>
    <t>    - Joint Airborne Lidar Bathymetry Center</t>
  </si>
  <si>
    <t>    - Military Housing Privatization Initiative Includes PAL, RCI and UPH</t>
  </si>
  <si>
    <t>    - Paint Technology Center</t>
  </si>
  <si>
    <t>    - Photogrammetric Mapping</t>
  </si>
  <si>
    <t>    - Power Reliability Enhancement Program (PREP)</t>
  </si>
  <si>
    <t>    - Rapid Response Technical Center of Expertise (Rapid Response SATOC and Rapid Disaster Infrastructure MATOC)</t>
  </si>
  <si>
    <t>    - Remote Sensing/GIS Technology Center</t>
  </si>
  <si>
    <t>    - Reserves Real Property Exchange Program</t>
  </si>
  <si>
    <t>    - Subsurface Exploration Center</t>
  </si>
  <si>
    <t>    - Survey Engineering and Mapping Center</t>
  </si>
  <si>
    <t>    - Sustainment Management Systems</t>
  </si>
  <si>
    <t>    - Tribal Nation (TNTCX)</t>
  </si>
  <si>
    <t>    - Water and Wastewater Treatment</t>
  </si>
  <si>
    <t>    - Welding and Metallurgy Technical Center of Expertise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</si>
</sst>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color theme="1"/>
      <name val="Aptos Narrow"/>
      <family val="2"/>
      <scheme val="minor"/>
    </font>
    <font>
      <b/>
      <sz val="14"/>
      <color theme="1"/>
      <name val="Aptos 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Font="1" applyAlignment="1">
      <alignment horizontal="left"/>
    </xf>
    <xf numFmtId="0" fontId="0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0" xfId="0" applyFont="1"/>
  </cellXfs>
  <cellStyles count="1">
    <cellStyle name="Normal" xfId="0" builtinId="0"/>
  </cellStyles>
  <dxfs count="23">
    <dxf>
      <font>
        <color theme="1" tint="0.499984740745262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 val="0"/>
        <i val="0"/>
        <color auto="1"/>
      </font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00B050"/>
        </patternFill>
      </fill>
    </dxf>
    <dxf>
      <font>
        <b val="0"/>
        <i val="0"/>
        <color theme="0" tint="-0.499984740745262"/>
      </font>
      <fill>
        <patternFill>
          <bgColor theme="0" tint="-4.9989318521683403E-2"/>
        </patternFill>
      </fill>
    </dxf>
    <dxf>
      <font>
        <b val="0"/>
        <i val="0"/>
        <color auto="1"/>
      </font>
      <fill>
        <patternFill>
          <bgColor rgb="FFCCFFCC"/>
        </patternFill>
      </fill>
    </dxf>
    <dxf>
      <font>
        <b val="0"/>
        <i val="0"/>
        <color auto="1"/>
      </font>
      <fill>
        <patternFill>
          <bgColor rgb="FFFFFFCC"/>
        </patternFill>
      </fill>
    </dxf>
    <dxf>
      <font>
        <b val="0"/>
        <i val="0"/>
        <color auto="1"/>
      </font>
      <fill>
        <patternFill>
          <bgColor rgb="FFFFCC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top style="thin">
          <color theme="0" tint="-0.24994659260841701"/>
        </top>
      </border>
    </dxf>
    <dxf>
      <border>
        <top style="thin">
          <color theme="0" tint="-0.24994659260841701"/>
        </top>
      </border>
    </dxf>
    <dxf>
      <font>
        <b/>
        <i val="0"/>
        <color theme="0"/>
      </font>
      <fill>
        <patternFill>
          <bgColor theme="1" tint="0.24994659260841701"/>
        </patternFill>
      </fill>
      <border>
        <left style="medium">
          <color theme="1" tint="0.24994659260841701"/>
        </left>
        <right style="medium">
          <color theme="1" tint="0.24994659260841701"/>
        </right>
        <top style="medium">
          <color theme="1" tint="0.24994659260841701"/>
        </top>
        <bottom style="medium">
          <color theme="1" tint="0.24994659260841701"/>
        </bottom>
      </border>
    </dxf>
    <dxf>
      <border>
        <left style="medium">
          <color theme="1" tint="0.24994659260841701"/>
        </left>
        <right style="medium">
          <color theme="1" tint="0.24994659260841701"/>
        </right>
        <top style="medium">
          <color theme="1" tint="0.24994659260841701"/>
        </top>
        <bottom style="medium">
          <color theme="1" tint="0.24994659260841701"/>
        </bottom>
        <vertical style="thin">
          <color theme="0" tint="-4.9989318521683403E-2"/>
        </vertical>
      </border>
    </dxf>
  </dxfs>
  <tableStyles count="1" defaultTableStyle="TableStyleMedium2" defaultPivotStyle="PivotStyleLight16">
    <tableStyle name="POAMTable" pivot="0" count="4" xr9:uid="{640E07F2-3868-4E9C-ABC5-2E36C285F0AF}">
      <tableStyleElement type="wholeTable" dxfId="22"/>
      <tableStyleElement type="headerRow" dxfId="21"/>
      <tableStyleElement type="firstRowStripe" dxfId="20"/>
      <tableStyleElement type="secondRowStripe" dxfId="19"/>
    </tableStyle>
  </tableStyles>
  <colors>
    <mruColors>
      <color rgb="FFFFCCCC"/>
      <color rgb="FFFFFFCC"/>
      <color rgb="FFCCFFCC"/>
      <color rgb="FF99FF99"/>
      <color rgb="FFFF66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64DA6E-CE20-4406-88AA-FE3E2797A27B}" name="Disciplines" displayName="Disciplines" ref="A1:A17" totalsRowShown="0" headerRowDxfId="18">
  <autoFilter ref="A1:A17" xr:uid="{0A64DA6E-CE20-4406-88AA-FE3E2797A27B}"/>
  <sortState xmlns:xlrd2="http://schemas.microsoft.com/office/spreadsheetml/2017/richdata2" ref="A2:A17">
    <sortCondition ref="A1:A17"/>
  </sortState>
  <tableColumns count="1">
    <tableColumn id="1" xr3:uid="{BA3CD48F-DC83-4349-9792-A2928135BDBF}" name="Disciplines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D37A90-E0DB-4FCA-B755-04EC8B60F984}" name="POAMs" displayName="POAMs" ref="A3:H84" totalsRowShown="0" headerRowDxfId="17" dataDxfId="16">
  <autoFilter ref="A3:H84" xr:uid="{BFD37A90-E0DB-4FCA-B755-04EC8B60F984}"/>
  <tableColumns count="8">
    <tableColumn id="1" xr3:uid="{62E67527-249F-47C1-8731-7452A689DF30}" name="ID" dataDxfId="15"/>
    <tableColumn id="2" xr3:uid="{FEAC263C-6891-4D7F-B970-F44D84416B81}" name="Category" dataDxfId="14"/>
    <tableColumn id="3" xr3:uid="{7005D407-F3D5-45D0-8211-B397ADDFD7E8}" name="Subject" dataDxfId="13"/>
    <tableColumn id="5" xr3:uid="{79CAFE3A-F2F6-41B6-9E62-B4F951DDB0E2}" name="Item" dataDxfId="12"/>
    <tableColumn id="4" xr3:uid="{882F2C44-0E57-489E-8A44-B581B4DDC542}" name="Ref" dataDxfId="11"/>
    <tableColumn id="6" xr3:uid="{28DD3715-6B68-46D0-A073-6DCDC0A1DCEF}" name="Notes" dataDxfId="10"/>
    <tableColumn id="7" xr3:uid="{01990875-C221-4581-8130-535AD17767A8}" name="Action" dataDxfId="9"/>
    <tableColumn id="8" xr3:uid="{C05B3606-53C3-44D8-A636-FF7B42AFD155}" name="Status" dataDxfId="8"/>
  </tableColumns>
  <tableStyleInfo name="POAM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5188-A8DE-454E-9CE5-1A61BB3D8F7E}">
  <dimension ref="A1:C6"/>
  <sheetViews>
    <sheetView workbookViewId="0">
      <selection activeCell="F12" sqref="F12"/>
    </sheetView>
  </sheetViews>
  <sheetFormatPr defaultRowHeight="15"/>
  <cols>
    <col min="1" max="16384" width="9.140625" style="4"/>
  </cols>
  <sheetData>
    <row r="1" spans="1:3">
      <c r="A1" s="6" t="s">
        <v>48</v>
      </c>
      <c r="B1" s="6" t="s">
        <v>50</v>
      </c>
      <c r="C1" s="6" t="s">
        <v>49</v>
      </c>
    </row>
    <row r="2" spans="1:3">
      <c r="A2" s="4" t="s">
        <v>46</v>
      </c>
      <c r="B2" s="5">
        <v>2501</v>
      </c>
      <c r="C2" s="4">
        <f>HEX2DEC(B2)</f>
        <v>9473</v>
      </c>
    </row>
    <row r="3" spans="1:3">
      <c r="A3" s="4" t="s">
        <v>47</v>
      </c>
      <c r="B3" s="5">
        <v>2533</v>
      </c>
      <c r="C3" s="4">
        <f t="shared" ref="C3:C6" si="0">HEX2DEC(B3)</f>
        <v>9523</v>
      </c>
    </row>
    <row r="4" spans="1:3">
      <c r="A4" s="4" t="s">
        <v>45</v>
      </c>
      <c r="B4" s="5">
        <v>2503</v>
      </c>
      <c r="C4" s="4">
        <f t="shared" si="0"/>
        <v>9475</v>
      </c>
    </row>
    <row r="5" spans="1:3">
      <c r="A5" s="4" t="s">
        <v>43</v>
      </c>
      <c r="B5" s="5">
        <v>2523</v>
      </c>
      <c r="C5" s="4">
        <f t="shared" si="0"/>
        <v>9507</v>
      </c>
    </row>
    <row r="6" spans="1:3">
      <c r="A6" s="4" t="s">
        <v>44</v>
      </c>
      <c r="B6" s="5">
        <v>2517</v>
      </c>
      <c r="C6" s="4">
        <f t="shared" si="0"/>
        <v>9495</v>
      </c>
    </row>
  </sheetData>
  <pageMargins left="0.7" right="0.7" top="0.75" bottom="0.75" header="0.3" footer="0.3"/>
  <pageSetup orientation="portrait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04B74-7C24-463D-85DC-F0FE0D32B51D}">
  <dimension ref="A1:B17"/>
  <sheetViews>
    <sheetView workbookViewId="0">
      <selection activeCell="A29" sqref="A29"/>
    </sheetView>
  </sheetViews>
  <sheetFormatPr defaultRowHeight="15"/>
  <cols>
    <col min="1" max="1" width="54.7109375" customWidth="1"/>
  </cols>
  <sheetData>
    <row r="1" spans="1:2">
      <c r="A1" s="7" t="s">
        <v>80</v>
      </c>
      <c r="B1" s="8" t="s">
        <v>94</v>
      </c>
    </row>
    <row r="2" spans="1:2">
      <c r="A2" t="s">
        <v>81</v>
      </c>
      <c r="B2">
        <f>COUNTIF($A2:$A$2,A2)</f>
        <v>1</v>
      </c>
    </row>
    <row r="3" spans="1:2">
      <c r="A3" t="s">
        <v>82</v>
      </c>
      <c r="B3">
        <f>COUNTIF($A$2:$A3,A3)</f>
        <v>1</v>
      </c>
    </row>
    <row r="4" spans="1:2">
      <c r="A4" t="s">
        <v>78</v>
      </c>
      <c r="B4">
        <f>COUNTIF($A$2:$A4,A4)</f>
        <v>1</v>
      </c>
    </row>
    <row r="5" spans="1:2">
      <c r="A5" t="s">
        <v>83</v>
      </c>
      <c r="B5">
        <f>COUNTIF($A$2:$A5,A5)</f>
        <v>1</v>
      </c>
    </row>
    <row r="6" spans="1:2">
      <c r="A6" t="s">
        <v>93</v>
      </c>
      <c r="B6">
        <f>COUNTIF($A$2:$A6,A6)</f>
        <v>1</v>
      </c>
    </row>
    <row r="7" spans="1:2">
      <c r="A7" t="s">
        <v>75</v>
      </c>
      <c r="B7">
        <f>COUNTIF($A$2:$A7,A7)</f>
        <v>1</v>
      </c>
    </row>
    <row r="8" spans="1:2">
      <c r="A8" t="s">
        <v>84</v>
      </c>
      <c r="B8">
        <f>COUNTIF($A$2:$A8,A8)</f>
        <v>1</v>
      </c>
    </row>
    <row r="9" spans="1:2">
      <c r="A9" t="s">
        <v>85</v>
      </c>
      <c r="B9">
        <f>COUNTIF($A$2:$A9,A9)</f>
        <v>1</v>
      </c>
    </row>
    <row r="10" spans="1:2">
      <c r="A10" t="s">
        <v>86</v>
      </c>
      <c r="B10">
        <f>COUNTIF($A$2:$A10,A10)</f>
        <v>1</v>
      </c>
    </row>
    <row r="11" spans="1:2">
      <c r="A11" t="s">
        <v>77</v>
      </c>
      <c r="B11">
        <f>COUNTIF($A$2:$A11,A11)</f>
        <v>1</v>
      </c>
    </row>
    <row r="12" spans="1:2">
      <c r="A12" t="s">
        <v>92</v>
      </c>
      <c r="B12">
        <f>COUNTIF($A$2:$A12,A12)</f>
        <v>1</v>
      </c>
    </row>
    <row r="13" spans="1:2">
      <c r="A13" t="s">
        <v>90</v>
      </c>
      <c r="B13">
        <f>COUNTIF($A$2:$A13,A13)</f>
        <v>1</v>
      </c>
    </row>
    <row r="14" spans="1:2">
      <c r="A14" t="s">
        <v>87</v>
      </c>
      <c r="B14">
        <f>COUNTIF($A$2:$A14,A14)</f>
        <v>1</v>
      </c>
    </row>
    <row r="15" spans="1:2">
      <c r="A15" t="s">
        <v>88</v>
      </c>
      <c r="B15">
        <f>COUNTIF($A$2:$A15,A15)</f>
        <v>1</v>
      </c>
    </row>
    <row r="16" spans="1:2">
      <c r="A16" t="s">
        <v>89</v>
      </c>
      <c r="B16">
        <f>COUNTIF($A$2:$A16,A16)</f>
        <v>1</v>
      </c>
    </row>
    <row r="17" spans="1:2">
      <c r="A17" t="s">
        <v>91</v>
      </c>
      <c r="B17">
        <f>COUNTIF($A$2:$A17,A17)</f>
        <v>1</v>
      </c>
    </row>
  </sheetData>
  <pageMargins left="0.7" right="0.7" top="0.75" bottom="0.75" header="0.3" footer="0.3"/>
  <pageSetup orientation="portrait" verticalDpi="597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FC5AE-5AA8-4BB0-AB6D-4D3571E8EC1A}">
  <dimension ref="A1:H84"/>
  <sheetViews>
    <sheetView showGridLines="0" workbookViewId="0">
      <selection activeCell="B4" sqref="B4"/>
    </sheetView>
  </sheetViews>
  <sheetFormatPr defaultRowHeight="15"/>
  <cols>
    <col min="1" max="1" width="9.140625" style="1"/>
    <col min="2" max="3" width="24.5703125" style="1" customWidth="1"/>
    <col min="4" max="4" width="58.28515625" bestFit="1" customWidth="1"/>
    <col min="5" max="5" width="20" customWidth="1"/>
    <col min="6" max="6" width="45.140625" style="2" customWidth="1"/>
    <col min="7" max="7" width="35.28515625" style="2" customWidth="1"/>
    <col min="8" max="8" width="20.28515625" style="2" customWidth="1"/>
    <col min="9" max="9" width="14.5703125" style="1" customWidth="1"/>
    <col min="10" max="16384" width="9.140625" style="1"/>
  </cols>
  <sheetData>
    <row r="1" spans="1:8" ht="18">
      <c r="A1" s="3" t="s">
        <v>7</v>
      </c>
      <c r="D1" s="2"/>
      <c r="E1" s="2"/>
      <c r="H1" s="1"/>
    </row>
    <row r="2" spans="1:8" ht="18">
      <c r="A2" s="3"/>
      <c r="D2" s="2"/>
      <c r="E2" s="2"/>
      <c r="H2" s="1"/>
    </row>
    <row r="3" spans="1:8">
      <c r="A3" s="1" t="s">
        <v>0</v>
      </c>
      <c r="B3" s="1" t="s">
        <v>1</v>
      </c>
      <c r="C3" s="1" t="s">
        <v>2</v>
      </c>
      <c r="D3" s="2" t="s">
        <v>3</v>
      </c>
      <c r="E3" s="2" t="s">
        <v>95</v>
      </c>
      <c r="F3" s="2" t="s">
        <v>4</v>
      </c>
      <c r="G3" s="2" t="s">
        <v>5</v>
      </c>
      <c r="H3" s="1" t="s">
        <v>6</v>
      </c>
    </row>
    <row r="4" spans="1:8">
      <c r="D4" s="2" t="s">
        <v>8</v>
      </c>
      <c r="E4" s="2"/>
      <c r="H4" s="1"/>
    </row>
    <row r="5" spans="1:8">
      <c r="D5" s="2" t="s">
        <v>9</v>
      </c>
      <c r="E5" s="2"/>
      <c r="H5" s="1"/>
    </row>
    <row r="6" spans="1:8">
      <c r="D6" s="2" t="s">
        <v>15</v>
      </c>
      <c r="E6" s="2"/>
      <c r="H6" s="1"/>
    </row>
    <row r="7" spans="1:8">
      <c r="D7" s="2" t="s">
        <v>10</v>
      </c>
      <c r="E7" s="2"/>
      <c r="H7" s="1"/>
    </row>
    <row r="8" spans="1:8">
      <c r="D8" s="2" t="s">
        <v>79</v>
      </c>
      <c r="E8" s="2"/>
      <c r="H8" s="1"/>
    </row>
    <row r="9" spans="1:8">
      <c r="D9" s="2" t="s">
        <v>11</v>
      </c>
      <c r="E9" s="2"/>
      <c r="H9" s="1"/>
    </row>
    <row r="10" spans="1:8">
      <c r="D10" s="2" t="s">
        <v>12</v>
      </c>
      <c r="E10" s="2"/>
      <c r="H10" s="1"/>
    </row>
    <row r="11" spans="1:8">
      <c r="D11" s="2" t="s">
        <v>13</v>
      </c>
      <c r="E11" s="2"/>
      <c r="H11" s="1"/>
    </row>
    <row r="12" spans="1:8">
      <c r="D12" s="2" t="s">
        <v>14</v>
      </c>
      <c r="E12" s="2"/>
      <c r="H12" s="1"/>
    </row>
    <row r="13" spans="1:8">
      <c r="D13" s="2" t="s">
        <v>16</v>
      </c>
      <c r="E13" s="2"/>
      <c r="H13" s="1"/>
    </row>
    <row r="14" spans="1:8">
      <c r="D14" s="2" t="s">
        <v>17</v>
      </c>
      <c r="E14" s="2"/>
      <c r="H14" s="1"/>
    </row>
    <row r="15" spans="1:8">
      <c r="D15" s="2" t="s">
        <v>18</v>
      </c>
      <c r="E15" s="2"/>
      <c r="H15" s="1"/>
    </row>
    <row r="16" spans="1:8">
      <c r="D16" s="2" t="s">
        <v>19</v>
      </c>
      <c r="E16" s="2"/>
      <c r="H16" s="1"/>
    </row>
    <row r="17" spans="4:8">
      <c r="D17" s="2" t="s">
        <v>20</v>
      </c>
      <c r="E17" s="2"/>
      <c r="H17" s="1"/>
    </row>
    <row r="18" spans="4:8">
      <c r="D18" s="2" t="s">
        <v>21</v>
      </c>
      <c r="E18" s="2"/>
      <c r="H18" s="1"/>
    </row>
    <row r="19" spans="4:8">
      <c r="D19" s="2" t="s">
        <v>22</v>
      </c>
      <c r="E19" s="2"/>
      <c r="H19" s="1"/>
    </row>
    <row r="20" spans="4:8">
      <c r="D20" s="2" t="s">
        <v>23</v>
      </c>
      <c r="E20" s="2"/>
      <c r="H20" s="1"/>
    </row>
    <row r="21" spans="4:8">
      <c r="D21" s="2" t="s">
        <v>24</v>
      </c>
      <c r="E21" s="2"/>
      <c r="H21" s="1"/>
    </row>
    <row r="22" spans="4:8">
      <c r="D22" s="2" t="s">
        <v>25</v>
      </c>
      <c r="E22" s="2"/>
      <c r="H22" s="1"/>
    </row>
    <row r="23" spans="4:8">
      <c r="D23" s="2" t="s">
        <v>26</v>
      </c>
      <c r="E23" s="2"/>
      <c r="H23" s="1"/>
    </row>
    <row r="24" spans="4:8">
      <c r="D24" s="2" t="s">
        <v>27</v>
      </c>
      <c r="E24" s="2"/>
      <c r="H24" s="1"/>
    </row>
    <row r="25" spans="4:8">
      <c r="D25" s="2" t="s">
        <v>28</v>
      </c>
      <c r="E25" s="2"/>
      <c r="H25" s="1"/>
    </row>
    <row r="26" spans="4:8">
      <c r="D26" s="2" t="s">
        <v>29</v>
      </c>
      <c r="E26" s="2"/>
      <c r="H26" s="1"/>
    </row>
    <row r="27" spans="4:8">
      <c r="D27" s="2" t="s">
        <v>30</v>
      </c>
      <c r="E27" s="2"/>
      <c r="H27" s="1"/>
    </row>
    <row r="28" spans="4:8">
      <c r="D28" s="2" t="s">
        <v>31</v>
      </c>
      <c r="E28" s="2"/>
      <c r="H28" s="1"/>
    </row>
    <row r="29" spans="4:8">
      <c r="D29" s="2" t="s">
        <v>32</v>
      </c>
      <c r="E29" s="2"/>
      <c r="H29" s="1"/>
    </row>
    <row r="30" spans="4:8">
      <c r="D30" s="2" t="s">
        <v>33</v>
      </c>
      <c r="E30" s="2"/>
      <c r="H30" s="1"/>
    </row>
    <row r="31" spans="4:8">
      <c r="D31" s="2" t="s">
        <v>34</v>
      </c>
      <c r="E31" s="2"/>
      <c r="H31" s="1"/>
    </row>
    <row r="32" spans="4:8">
      <c r="D32" s="2" t="s">
        <v>35</v>
      </c>
      <c r="E32" s="2"/>
      <c r="H32" s="1"/>
    </row>
    <row r="33" spans="3:8">
      <c r="D33" s="2" t="s">
        <v>36</v>
      </c>
      <c r="E33" s="2"/>
      <c r="H33" s="1"/>
    </row>
    <row r="34" spans="3:8">
      <c r="D34" s="2" t="s">
        <v>37</v>
      </c>
      <c r="E34" s="2"/>
      <c r="H34" s="1"/>
    </row>
    <row r="35" spans="3:8">
      <c r="D35" s="2" t="s">
        <v>38</v>
      </c>
      <c r="E35" s="2"/>
      <c r="H35" s="1"/>
    </row>
    <row r="36" spans="3:8">
      <c r="D36" s="2" t="s">
        <v>39</v>
      </c>
      <c r="E36" s="2"/>
      <c r="H36" s="1"/>
    </row>
    <row r="37" spans="3:8">
      <c r="C37" s="1" t="s">
        <v>41</v>
      </c>
      <c r="D37" s="2" t="s">
        <v>40</v>
      </c>
      <c r="E37" s="2"/>
      <c r="H37" s="1"/>
    </row>
    <row r="38" spans="3:8">
      <c r="D38" s="2" t="s">
        <v>96</v>
      </c>
      <c r="E38" s="2"/>
      <c r="H38" s="1"/>
    </row>
    <row r="39" spans="3:8">
      <c r="D39" s="2" t="s">
        <v>97</v>
      </c>
      <c r="E39" s="2"/>
      <c r="H39" s="1"/>
    </row>
    <row r="40" spans="3:8">
      <c r="D40" s="2" t="s">
        <v>98</v>
      </c>
      <c r="E40" s="2"/>
      <c r="H40" s="1"/>
    </row>
    <row r="41" spans="3:8">
      <c r="D41" s="2" t="s">
        <v>42</v>
      </c>
      <c r="E41" s="2"/>
      <c r="H41" s="1"/>
    </row>
    <row r="42" spans="3:8">
      <c r="D42" s="2" t="s">
        <v>99</v>
      </c>
      <c r="E42" s="2"/>
      <c r="H42" s="1"/>
    </row>
    <row r="43" spans="3:8">
      <c r="D43" s="2" t="s">
        <v>100</v>
      </c>
      <c r="E43" s="2"/>
      <c r="H43" s="1"/>
    </row>
    <row r="44" spans="3:8">
      <c r="D44" s="2" t="s">
        <v>101</v>
      </c>
      <c r="E44" s="2"/>
      <c r="H44" s="1"/>
    </row>
    <row r="45" spans="3:8">
      <c r="D45" s="2" t="s">
        <v>51</v>
      </c>
      <c r="E45" s="2"/>
      <c r="H45" s="1"/>
    </row>
    <row r="46" spans="3:8">
      <c r="D46" s="2" t="s">
        <v>52</v>
      </c>
      <c r="E46" s="2"/>
      <c r="H46" s="1"/>
    </row>
    <row r="47" spans="3:8">
      <c r="D47" s="2" t="s">
        <v>53</v>
      </c>
      <c r="E47" s="2"/>
      <c r="H47" s="1"/>
    </row>
    <row r="48" spans="3:8">
      <c r="D48" s="2" t="s">
        <v>54</v>
      </c>
      <c r="E48" s="2"/>
      <c r="H48" s="1"/>
    </row>
    <row r="49" spans="4:8">
      <c r="D49" s="2" t="s">
        <v>55</v>
      </c>
      <c r="E49" s="2"/>
      <c r="H49" s="1"/>
    </row>
    <row r="50" spans="4:8">
      <c r="D50" s="2" t="s">
        <v>56</v>
      </c>
      <c r="E50" s="2"/>
      <c r="H50" s="1"/>
    </row>
    <row r="51" spans="4:8">
      <c r="D51" s="2" t="s">
        <v>57</v>
      </c>
      <c r="E51" s="2"/>
      <c r="H51" s="1"/>
    </row>
    <row r="52" spans="4:8">
      <c r="D52" s="2" t="s">
        <v>102</v>
      </c>
      <c r="E52" s="2"/>
      <c r="H52" s="1"/>
    </row>
    <row r="53" spans="4:8">
      <c r="D53" s="2" t="s">
        <v>103</v>
      </c>
      <c r="E53" s="2"/>
      <c r="H53" s="1"/>
    </row>
    <row r="54" spans="4:8">
      <c r="D54" s="2" t="s">
        <v>104</v>
      </c>
      <c r="E54" s="2"/>
      <c r="H54" s="1"/>
    </row>
    <row r="55" spans="4:8">
      <c r="D55" s="2" t="s">
        <v>58</v>
      </c>
      <c r="E55" s="2"/>
      <c r="H55" s="1"/>
    </row>
    <row r="56" spans="4:8">
      <c r="D56" s="2" t="s">
        <v>59</v>
      </c>
      <c r="E56" s="2"/>
      <c r="H56" s="1"/>
    </row>
    <row r="57" spans="4:8">
      <c r="D57" s="2" t="s">
        <v>60</v>
      </c>
      <c r="E57" s="2"/>
      <c r="H57" s="1"/>
    </row>
    <row r="58" spans="4:8">
      <c r="D58" s="2" t="s">
        <v>61</v>
      </c>
      <c r="E58" s="2"/>
      <c r="H58" s="1"/>
    </row>
    <row r="59" spans="4:8">
      <c r="D59" s="2" t="s">
        <v>62</v>
      </c>
      <c r="E59" s="2"/>
      <c r="H59" s="1"/>
    </row>
    <row r="60" spans="4:8">
      <c r="D60" s="2" t="s">
        <v>63</v>
      </c>
      <c r="E60" s="2"/>
      <c r="H60" s="1"/>
    </row>
    <row r="61" spans="4:8">
      <c r="D61" s="2" t="s">
        <v>64</v>
      </c>
      <c r="E61" s="2"/>
      <c r="H61" s="1"/>
    </row>
    <row r="62" spans="4:8">
      <c r="D62" s="2" t="s">
        <v>65</v>
      </c>
      <c r="E62" s="2"/>
      <c r="H62" s="1"/>
    </row>
    <row r="63" spans="4:8">
      <c r="D63" s="2" t="s">
        <v>66</v>
      </c>
      <c r="E63" s="2"/>
      <c r="H63" s="1"/>
    </row>
    <row r="64" spans="4:8">
      <c r="D64" s="2" t="s">
        <v>67</v>
      </c>
      <c r="E64" s="2"/>
      <c r="H64" s="1"/>
    </row>
    <row r="65" spans="4:8">
      <c r="D65" s="2" t="s">
        <v>68</v>
      </c>
      <c r="E65" s="2"/>
      <c r="H65" s="1"/>
    </row>
    <row r="66" spans="4:8">
      <c r="D66" s="2" t="s">
        <v>69</v>
      </c>
      <c r="E66" s="2"/>
      <c r="H66" s="1"/>
    </row>
    <row r="67" spans="4:8">
      <c r="D67" s="2" t="s">
        <v>70</v>
      </c>
      <c r="E67" s="2"/>
      <c r="H67" s="1"/>
    </row>
    <row r="68" spans="4:8">
      <c r="D68" s="2" t="s">
        <v>71</v>
      </c>
      <c r="E68" s="2"/>
      <c r="H68" s="1"/>
    </row>
    <row r="69" spans="4:8">
      <c r="D69" s="2" t="s">
        <v>72</v>
      </c>
      <c r="E69" s="2"/>
      <c r="H69" s="1"/>
    </row>
    <row r="70" spans="4:8">
      <c r="D70" s="2" t="s">
        <v>73</v>
      </c>
      <c r="E70" s="2"/>
      <c r="H70" s="1"/>
    </row>
    <row r="71" spans="4:8">
      <c r="D71" s="2" t="s">
        <v>74</v>
      </c>
      <c r="E71" s="2"/>
      <c r="H71" s="1"/>
    </row>
    <row r="72" spans="4:8">
      <c r="D72" s="2" t="s">
        <v>105</v>
      </c>
      <c r="E72" s="2"/>
      <c r="H72" s="1"/>
    </row>
    <row r="73" spans="4:8">
      <c r="D73" s="2" t="s">
        <v>106</v>
      </c>
      <c r="E73" s="2"/>
      <c r="H73" s="1"/>
    </row>
    <row r="74" spans="4:8">
      <c r="D74" s="2" t="s">
        <v>107</v>
      </c>
      <c r="E74" s="2"/>
      <c r="H74" s="1"/>
    </row>
    <row r="75" spans="4:8">
      <c r="D75" s="2" t="s">
        <v>108</v>
      </c>
      <c r="E75" s="2"/>
      <c r="H75" s="1"/>
    </row>
    <row r="76" spans="4:8">
      <c r="D76" s="2" t="s">
        <v>109</v>
      </c>
      <c r="E76" s="2"/>
      <c r="H76" s="1"/>
    </row>
    <row r="77" spans="4:8">
      <c r="D77" s="2" t="s">
        <v>110</v>
      </c>
      <c r="E77" s="2"/>
      <c r="H77" s="1"/>
    </row>
    <row r="78" spans="4:8">
      <c r="D78" s="2" t="s">
        <v>111</v>
      </c>
      <c r="E78" s="2"/>
      <c r="H78" s="1"/>
    </row>
    <row r="79" spans="4:8">
      <c r="D79" s="2" t="s">
        <v>112</v>
      </c>
      <c r="E79" s="2"/>
      <c r="H79" s="1"/>
    </row>
    <row r="80" spans="4:8">
      <c r="D80" s="2" t="s">
        <v>113</v>
      </c>
      <c r="E80" s="2"/>
      <c r="H80" s="1"/>
    </row>
    <row r="81" spans="4:8">
      <c r="D81" s="2" t="s">
        <v>114</v>
      </c>
      <c r="E81" s="2"/>
      <c r="H81" s="1"/>
    </row>
    <row r="82" spans="4:8">
      <c r="D82" s="2" t="s">
        <v>115</v>
      </c>
      <c r="E82" s="2"/>
      <c r="H82" s="1"/>
    </row>
    <row r="83" spans="4:8">
      <c r="D83" s="2" t="s">
        <v>116</v>
      </c>
      <c r="E83" s="2"/>
      <c r="H83" s="1"/>
    </row>
    <row r="84" spans="4:8">
      <c r="D84" s="2" t="s">
        <v>76</v>
      </c>
      <c r="E84" s="2"/>
      <c r="H84" s="1"/>
    </row>
  </sheetData>
  <conditionalFormatting sqref="A4:H84">
    <cfRule type="expression" dxfId="7" priority="4">
      <formula>IF(LOWER($H4)="applicable",TRUE,FALSE)</formula>
    </cfRule>
    <cfRule type="expression" dxfId="6" priority="5">
      <formula>IF(LOWER($H4)="coordinating",TRUE,FALSE)</formula>
    </cfRule>
    <cfRule type="expression" dxfId="5" priority="6">
      <formula>IF(LOWER($H4)="resolved",TRUE,FALSE)</formula>
    </cfRule>
    <cfRule type="expression" dxfId="4" priority="8">
      <formula>IF(LOWER($H4)="n/a",TRUE,FALSE)</formula>
    </cfRule>
  </conditionalFormatting>
  <conditionalFormatting sqref="H4:H84">
    <cfRule type="expression" dxfId="3" priority="1">
      <formula>IF(LOWER($H4)="resolved",TRUE,FALSE)</formula>
    </cfRule>
    <cfRule type="expression" dxfId="2" priority="2">
      <formula>IF(LOWER($H4)="coordinating",TRUE,FALSE)</formula>
    </cfRule>
    <cfRule type="expression" dxfId="1" priority="3">
      <formula>IF(LOWER($H4)="applicable",TRUE,FALSE)</formula>
    </cfRule>
    <cfRule type="expression" dxfId="0" priority="7">
      <formula>IF(LOWER($H4)="n/a",TRUE,FALSE)</formula>
    </cfRule>
  </conditionalFormatting>
  <dataValidations disablePrompts="1" count="1">
    <dataValidation type="list" allowBlank="1" showInputMessage="1" showErrorMessage="1" sqref="H4:H84" xr:uid="{4A9E0157-5538-4C02-ADF9-D779BDC1C8A6}">
      <formula1>"N/A, Applicable, Coordinating, Resolved"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B5EF5-11BB-4B4B-817D-5CF9476E1FD7}">
  <dimension ref="A1:A256"/>
  <sheetViews>
    <sheetView tabSelected="1" workbookViewId="0">
      <selection activeCell="B16" sqref="B16"/>
    </sheetView>
  </sheetViews>
  <sheetFormatPr defaultRowHeight="15"/>
  <cols>
    <col min="1" max="1" width="108.42578125" style="9" bestFit="1" customWidth="1"/>
    <col min="2" max="16384" width="9.140625" style="9"/>
  </cols>
  <sheetData>
    <row r="1" spans="1:1">
      <c r="A1" s="7" t="s">
        <v>117</v>
      </c>
    </row>
    <row r="3" spans="1:1">
      <c r="A3" s="7" t="s">
        <v>118</v>
      </c>
    </row>
    <row r="4" spans="1:1">
      <c r="A4" s="9" t="s">
        <v>119</v>
      </c>
    </row>
    <row r="5" spans="1:1">
      <c r="A5" s="9" t="s">
        <v>120</v>
      </c>
    </row>
    <row r="6" spans="1:1">
      <c r="A6" s="9" t="s">
        <v>121</v>
      </c>
    </row>
    <row r="7" spans="1:1">
      <c r="A7" s="9" t="s">
        <v>122</v>
      </c>
    </row>
    <row r="8" spans="1:1">
      <c r="A8" s="9" t="s">
        <v>123</v>
      </c>
    </row>
    <row r="9" spans="1:1">
      <c r="A9" s="9" t="s">
        <v>124</v>
      </c>
    </row>
    <row r="10" spans="1:1">
      <c r="A10" s="9" t="s">
        <v>125</v>
      </c>
    </row>
    <row r="11" spans="1:1">
      <c r="A11" s="9" t="s">
        <v>126</v>
      </c>
    </row>
    <row r="12" spans="1:1">
      <c r="A12" s="9" t="s">
        <v>127</v>
      </c>
    </row>
    <row r="13" spans="1:1">
      <c r="A13" s="9" t="s">
        <v>128</v>
      </c>
    </row>
    <row r="14" spans="1:1">
      <c r="A14" s="9" t="s">
        <v>129</v>
      </c>
    </row>
    <row r="15" spans="1:1">
      <c r="A15" s="9" t="s">
        <v>130</v>
      </c>
    </row>
    <row r="16" spans="1:1">
      <c r="A16" s="9" t="s">
        <v>131</v>
      </c>
    </row>
    <row r="17" spans="1:1">
      <c r="A17" s="9" t="s">
        <v>132</v>
      </c>
    </row>
    <row r="18" spans="1:1">
      <c r="A18" s="9" t="s">
        <v>133</v>
      </c>
    </row>
    <row r="19" spans="1:1">
      <c r="A19" s="9" t="s">
        <v>134</v>
      </c>
    </row>
    <row r="20" spans="1:1">
      <c r="A20" s="9" t="s">
        <v>135</v>
      </c>
    </row>
    <row r="21" spans="1:1">
      <c r="A21" s="9" t="s">
        <v>136</v>
      </c>
    </row>
    <row r="22" spans="1:1">
      <c r="A22" s="9" t="s">
        <v>137</v>
      </c>
    </row>
    <row r="23" spans="1:1">
      <c r="A23" s="9" t="s">
        <v>138</v>
      </c>
    </row>
    <row r="24" spans="1:1">
      <c r="A24" s="9" t="s">
        <v>139</v>
      </c>
    </row>
    <row r="25" spans="1:1">
      <c r="A25" s="9" t="s">
        <v>140</v>
      </c>
    </row>
    <row r="26" spans="1:1">
      <c r="A26" s="9" t="s">
        <v>141</v>
      </c>
    </row>
    <row r="27" spans="1:1">
      <c r="A27" s="9" t="s">
        <v>142</v>
      </c>
    </row>
    <row r="28" spans="1:1">
      <c r="A28" s="9" t="s">
        <v>143</v>
      </c>
    </row>
    <row r="29" spans="1:1">
      <c r="A29" s="9" t="s">
        <v>144</v>
      </c>
    </row>
    <row r="30" spans="1:1">
      <c r="A30" s="9" t="s">
        <v>145</v>
      </c>
    </row>
    <row r="31" spans="1:1">
      <c r="A31" s="9" t="s">
        <v>146</v>
      </c>
    </row>
    <row r="32" spans="1:1">
      <c r="A32" s="9" t="s">
        <v>147</v>
      </c>
    </row>
    <row r="33" spans="1:1">
      <c r="A33" s="9" t="s">
        <v>148</v>
      </c>
    </row>
    <row r="34" spans="1:1">
      <c r="A34" s="9" t="s">
        <v>149</v>
      </c>
    </row>
    <row r="35" spans="1:1">
      <c r="A35" s="9" t="s">
        <v>150</v>
      </c>
    </row>
    <row r="36" spans="1:1">
      <c r="A36" s="9" t="s">
        <v>151</v>
      </c>
    </row>
    <row r="37" spans="1:1">
      <c r="A37" s="9" t="s">
        <v>152</v>
      </c>
    </row>
    <row r="38" spans="1:1">
      <c r="A38" s="9" t="s">
        <v>153</v>
      </c>
    </row>
    <row r="39" spans="1:1">
      <c r="A39" s="9" t="s">
        <v>154</v>
      </c>
    </row>
    <row r="40" spans="1:1">
      <c r="A40" s="9" t="s">
        <v>155</v>
      </c>
    </row>
    <row r="41" spans="1:1">
      <c r="A41" s="9" t="s">
        <v>156</v>
      </c>
    </row>
    <row r="42" spans="1:1">
      <c r="A42" s="9" t="s">
        <v>157</v>
      </c>
    </row>
    <row r="43" spans="1:1">
      <c r="A43" s="9" t="s">
        <v>158</v>
      </c>
    </row>
    <row r="44" spans="1:1">
      <c r="A44" s="9" t="s">
        <v>159</v>
      </c>
    </row>
    <row r="45" spans="1:1">
      <c r="A45" s="9" t="s">
        <v>160</v>
      </c>
    </row>
    <row r="46" spans="1:1">
      <c r="A46" s="9" t="s">
        <v>161</v>
      </c>
    </row>
    <row r="47" spans="1:1">
      <c r="A47" s="9" t="s">
        <v>162</v>
      </c>
    </row>
    <row r="48" spans="1:1">
      <c r="A48" s="9" t="s">
        <v>163</v>
      </c>
    </row>
    <row r="49" spans="1:1">
      <c r="A49" s="9" t="s">
        <v>164</v>
      </c>
    </row>
    <row r="50" spans="1:1">
      <c r="A50" s="9" t="s">
        <v>165</v>
      </c>
    </row>
    <row r="51" spans="1:1">
      <c r="A51" s="9" t="s">
        <v>166</v>
      </c>
    </row>
    <row r="52" spans="1:1">
      <c r="A52" s="9" t="s">
        <v>167</v>
      </c>
    </row>
    <row r="53" spans="1:1">
      <c r="A53" s="9" t="s">
        <v>168</v>
      </c>
    </row>
    <row r="54" spans="1:1">
      <c r="A54" s="9" t="s">
        <v>169</v>
      </c>
    </row>
    <row r="55" spans="1:1">
      <c r="A55" s="9" t="s">
        <v>170</v>
      </c>
    </row>
    <row r="56" spans="1:1">
      <c r="A56" s="9" t="s">
        <v>171</v>
      </c>
    </row>
    <row r="57" spans="1:1">
      <c r="A57" s="9" t="s">
        <v>172</v>
      </c>
    </row>
    <row r="58" spans="1:1">
      <c r="A58" s="9" t="s">
        <v>173</v>
      </c>
    </row>
    <row r="59" spans="1:1">
      <c r="A59" s="9" t="s">
        <v>174</v>
      </c>
    </row>
    <row r="60" spans="1:1">
      <c r="A60" s="9" t="s">
        <v>175</v>
      </c>
    </row>
    <row r="61" spans="1:1">
      <c r="A61" s="9" t="s">
        <v>176</v>
      </c>
    </row>
    <row r="62" spans="1:1">
      <c r="A62" s="9" t="s">
        <v>177</v>
      </c>
    </row>
    <row r="63" spans="1:1">
      <c r="A63" s="9" t="s">
        <v>178</v>
      </c>
    </row>
    <row r="64" spans="1:1">
      <c r="A64" s="9" t="s">
        <v>179</v>
      </c>
    </row>
    <row r="65" spans="1:1">
      <c r="A65" s="9" t="s">
        <v>180</v>
      </c>
    </row>
    <row r="66" spans="1:1">
      <c r="A66" s="9" t="s">
        <v>181</v>
      </c>
    </row>
    <row r="67" spans="1:1">
      <c r="A67" s="9" t="s">
        <v>182</v>
      </c>
    </row>
    <row r="68" spans="1:1">
      <c r="A68" s="9" t="s">
        <v>183</v>
      </c>
    </row>
    <row r="69" spans="1:1">
      <c r="A69" s="9" t="s">
        <v>184</v>
      </c>
    </row>
    <row r="70" spans="1:1">
      <c r="A70" s="9" t="s">
        <v>185</v>
      </c>
    </row>
    <row r="71" spans="1:1">
      <c r="A71" s="9" t="s">
        <v>186</v>
      </c>
    </row>
    <row r="72" spans="1:1">
      <c r="A72" s="9" t="s">
        <v>187</v>
      </c>
    </row>
    <row r="73" spans="1:1">
      <c r="A73" s="9" t="s">
        <v>188</v>
      </c>
    </row>
    <row r="74" spans="1:1">
      <c r="A74" s="9" t="s">
        <v>189</v>
      </c>
    </row>
    <row r="75" spans="1:1">
      <c r="A75" s="9" t="s">
        <v>190</v>
      </c>
    </row>
    <row r="76" spans="1:1">
      <c r="A76" s="9" t="s">
        <v>191</v>
      </c>
    </row>
    <row r="77" spans="1:1">
      <c r="A77" s="9" t="s">
        <v>192</v>
      </c>
    </row>
    <row r="78" spans="1:1">
      <c r="A78" s="9" t="s">
        <v>193</v>
      </c>
    </row>
    <row r="79" spans="1:1">
      <c r="A79" s="9" t="s">
        <v>194</v>
      </c>
    </row>
    <row r="80" spans="1:1">
      <c r="A80" s="9" t="s">
        <v>195</v>
      </c>
    </row>
    <row r="81" spans="1:1">
      <c r="A81" s="9" t="s">
        <v>196</v>
      </c>
    </row>
    <row r="82" spans="1:1">
      <c r="A82" s="9" t="s">
        <v>197</v>
      </c>
    </row>
    <row r="83" spans="1:1">
      <c r="A83" s="9" t="s">
        <v>198</v>
      </c>
    </row>
    <row r="84" spans="1:1">
      <c r="A84" s="9" t="s">
        <v>199</v>
      </c>
    </row>
    <row r="85" spans="1:1">
      <c r="A85" s="9" t="s">
        <v>200</v>
      </c>
    </row>
    <row r="86" spans="1:1">
      <c r="A86" s="9" t="s">
        <v>201</v>
      </c>
    </row>
    <row r="87" spans="1:1">
      <c r="A87" s="9" t="s">
        <v>202</v>
      </c>
    </row>
    <row r="88" spans="1:1">
      <c r="A88" s="9" t="s">
        <v>203</v>
      </c>
    </row>
    <row r="89" spans="1:1">
      <c r="A89" s="9" t="s">
        <v>204</v>
      </c>
    </row>
    <row r="90" spans="1:1">
      <c r="A90" s="9" t="s">
        <v>205</v>
      </c>
    </row>
    <row r="91" spans="1:1">
      <c r="A91" s="9" t="s">
        <v>206</v>
      </c>
    </row>
    <row r="92" spans="1:1">
      <c r="A92" s="9" t="s">
        <v>207</v>
      </c>
    </row>
    <row r="93" spans="1:1">
      <c r="A93" s="9" t="s">
        <v>208</v>
      </c>
    </row>
    <row r="94" spans="1:1">
      <c r="A94" s="9" t="s">
        <v>209</v>
      </c>
    </row>
    <row r="95" spans="1:1">
      <c r="A95" s="9" t="s">
        <v>210</v>
      </c>
    </row>
    <row r="96" spans="1:1">
      <c r="A96" s="9" t="s">
        <v>211</v>
      </c>
    </row>
    <row r="97" spans="1:1">
      <c r="A97" s="9" t="s">
        <v>212</v>
      </c>
    </row>
    <row r="98" spans="1:1">
      <c r="A98" s="9" t="s">
        <v>213</v>
      </c>
    </row>
    <row r="99" spans="1:1">
      <c r="A99" s="9" t="s">
        <v>214</v>
      </c>
    </row>
    <row r="100" spans="1:1">
      <c r="A100" s="9" t="s">
        <v>215</v>
      </c>
    </row>
    <row r="101" spans="1:1">
      <c r="A101" s="9" t="s">
        <v>216</v>
      </c>
    </row>
    <row r="102" spans="1:1">
      <c r="A102" s="9" t="s">
        <v>217</v>
      </c>
    </row>
    <row r="103" spans="1:1">
      <c r="A103" s="9" t="s">
        <v>218</v>
      </c>
    </row>
    <row r="104" spans="1:1">
      <c r="A104" s="9" t="s">
        <v>219</v>
      </c>
    </row>
    <row r="105" spans="1:1">
      <c r="A105" s="9" t="s">
        <v>220</v>
      </c>
    </row>
    <row r="106" spans="1:1">
      <c r="A106" s="9" t="s">
        <v>221</v>
      </c>
    </row>
    <row r="107" spans="1:1">
      <c r="A107" s="9" t="s">
        <v>222</v>
      </c>
    </row>
    <row r="108" spans="1:1">
      <c r="A108" s="9" t="s">
        <v>223</v>
      </c>
    </row>
    <row r="109" spans="1:1">
      <c r="A109" s="9" t="s">
        <v>224</v>
      </c>
    </row>
    <row r="110" spans="1:1">
      <c r="A110" s="9" t="s">
        <v>225</v>
      </c>
    </row>
    <row r="111" spans="1:1">
      <c r="A111" s="9" t="s">
        <v>226</v>
      </c>
    </row>
    <row r="112" spans="1:1">
      <c r="A112" s="9" t="s">
        <v>227</v>
      </c>
    </row>
    <row r="113" spans="1:1">
      <c r="A113" s="9" t="s">
        <v>228</v>
      </c>
    </row>
    <row r="114" spans="1:1">
      <c r="A114" s="9" t="s">
        <v>229</v>
      </c>
    </row>
    <row r="115" spans="1:1">
      <c r="A115" s="9" t="s">
        <v>230</v>
      </c>
    </row>
    <row r="117" spans="1:1">
      <c r="A117" s="9" t="s">
        <v>231</v>
      </c>
    </row>
    <row r="118" spans="1:1">
      <c r="A118" s="9" t="s">
        <v>232</v>
      </c>
    </row>
    <row r="119" spans="1:1">
      <c r="A119" s="9" t="s">
        <v>233</v>
      </c>
    </row>
    <row r="120" spans="1:1">
      <c r="A120" s="9" t="s">
        <v>234</v>
      </c>
    </row>
    <row r="121" spans="1:1">
      <c r="A121" s="9" t="s">
        <v>235</v>
      </c>
    </row>
    <row r="122" spans="1:1">
      <c r="A122" s="9" t="s">
        <v>236</v>
      </c>
    </row>
    <row r="123" spans="1:1">
      <c r="A123" s="9" t="s">
        <v>237</v>
      </c>
    </row>
    <row r="124" spans="1:1">
      <c r="A124" s="9" t="s">
        <v>238</v>
      </c>
    </row>
    <row r="125" spans="1:1">
      <c r="A125" s="9" t="s">
        <v>239</v>
      </c>
    </row>
    <row r="126" spans="1:1">
      <c r="A126" s="9" t="s">
        <v>240</v>
      </c>
    </row>
    <row r="127" spans="1:1">
      <c r="A127" s="9" t="s">
        <v>241</v>
      </c>
    </row>
    <row r="128" spans="1:1">
      <c r="A128" s="9" t="s">
        <v>242</v>
      </c>
    </row>
    <row r="129" spans="1:1">
      <c r="A129" s="9" t="s">
        <v>243</v>
      </c>
    </row>
    <row r="130" spans="1:1">
      <c r="A130" s="9" t="s">
        <v>244</v>
      </c>
    </row>
    <row r="131" spans="1:1">
      <c r="A131" s="9" t="s">
        <v>245</v>
      </c>
    </row>
    <row r="132" spans="1:1">
      <c r="A132" s="9" t="s">
        <v>246</v>
      </c>
    </row>
    <row r="133" spans="1:1">
      <c r="A133" s="9" t="s">
        <v>247</v>
      </c>
    </row>
    <row r="134" spans="1:1">
      <c r="A134" s="9" t="s">
        <v>248</v>
      </c>
    </row>
    <row r="137" spans="1:1">
      <c r="A137" s="9" t="s">
        <v>249</v>
      </c>
    </row>
    <row r="138" spans="1:1">
      <c r="A138" s="9" t="s">
        <v>250</v>
      </c>
    </row>
    <row r="139" spans="1:1">
      <c r="A139" s="9" t="s">
        <v>251</v>
      </c>
    </row>
    <row r="140" spans="1:1">
      <c r="A140" s="9" t="s">
        <v>252</v>
      </c>
    </row>
    <row r="141" spans="1:1">
      <c r="A141" s="9" t="s">
        <v>253</v>
      </c>
    </row>
    <row r="142" spans="1:1">
      <c r="A142" s="9" t="s">
        <v>254</v>
      </c>
    </row>
    <row r="143" spans="1:1">
      <c r="A143" s="9" t="s">
        <v>255</v>
      </c>
    </row>
    <row r="144" spans="1:1">
      <c r="A144" s="9" t="s">
        <v>256</v>
      </c>
    </row>
    <row r="145" spans="1:1">
      <c r="A145" s="9" t="s">
        <v>257</v>
      </c>
    </row>
    <row r="146" spans="1:1">
      <c r="A146" s="9" t="s">
        <v>258</v>
      </c>
    </row>
    <row r="147" spans="1:1">
      <c r="A147" s="9" t="s">
        <v>259</v>
      </c>
    </row>
    <row r="148" spans="1:1">
      <c r="A148" s="9" t="s">
        <v>260</v>
      </c>
    </row>
    <row r="149" spans="1:1">
      <c r="A149" s="9" t="s">
        <v>261</v>
      </c>
    </row>
    <row r="150" spans="1:1">
      <c r="A150" s="9" t="s">
        <v>262</v>
      </c>
    </row>
    <row r="151" spans="1:1">
      <c r="A151" s="9" t="s">
        <v>263</v>
      </c>
    </row>
    <row r="152" spans="1:1">
      <c r="A152" s="9" t="s">
        <v>264</v>
      </c>
    </row>
    <row r="153" spans="1:1">
      <c r="A153" s="9" t="s">
        <v>265</v>
      </c>
    </row>
    <row r="154" spans="1:1">
      <c r="A154" s="9" t="s">
        <v>266</v>
      </c>
    </row>
    <row r="155" spans="1:1">
      <c r="A155" s="9" t="s">
        <v>267</v>
      </c>
    </row>
    <row r="156" spans="1:1">
      <c r="A156" s="9" t="s">
        <v>268</v>
      </c>
    </row>
    <row r="157" spans="1:1">
      <c r="A157" s="9" t="s">
        <v>269</v>
      </c>
    </row>
    <row r="158" spans="1:1">
      <c r="A158" s="9" t="s">
        <v>270</v>
      </c>
    </row>
    <row r="159" spans="1:1">
      <c r="A159" s="9" t="s">
        <v>271</v>
      </c>
    </row>
    <row r="160" spans="1:1">
      <c r="A160" s="9" t="s">
        <v>272</v>
      </c>
    </row>
    <row r="161" spans="1:1">
      <c r="A161" s="9" t="s">
        <v>273</v>
      </c>
    </row>
    <row r="162" spans="1:1">
      <c r="A162" s="9" t="s">
        <v>274</v>
      </c>
    </row>
    <row r="163" spans="1:1">
      <c r="A163" s="9" t="s">
        <v>275</v>
      </c>
    </row>
    <row r="164" spans="1:1">
      <c r="A164" s="9" t="s">
        <v>276</v>
      </c>
    </row>
    <row r="165" spans="1:1">
      <c r="A165" s="9" t="s">
        <v>277</v>
      </c>
    </row>
    <row r="166" spans="1:1">
      <c r="A166" s="9" t="s">
        <v>278</v>
      </c>
    </row>
    <row r="167" spans="1:1">
      <c r="A167" s="9" t="s">
        <v>279</v>
      </c>
    </row>
    <row r="168" spans="1:1">
      <c r="A168" s="9" t="s">
        <v>280</v>
      </c>
    </row>
    <row r="169" spans="1:1">
      <c r="A169" s="9" t="s">
        <v>281</v>
      </c>
    </row>
    <row r="170" spans="1:1">
      <c r="A170" s="9" t="s">
        <v>282</v>
      </c>
    </row>
    <row r="171" spans="1:1">
      <c r="A171" s="9" t="s">
        <v>283</v>
      </c>
    </row>
    <row r="172" spans="1:1">
      <c r="A172" s="9" t="s">
        <v>284</v>
      </c>
    </row>
    <row r="173" spans="1:1">
      <c r="A173" s="9" t="s">
        <v>285</v>
      </c>
    </row>
    <row r="174" spans="1:1">
      <c r="A174" s="9" t="s">
        <v>286</v>
      </c>
    </row>
    <row r="175" spans="1:1">
      <c r="A175" s="9" t="s">
        <v>287</v>
      </c>
    </row>
    <row r="176" spans="1:1">
      <c r="A176" s="9" t="s">
        <v>288</v>
      </c>
    </row>
    <row r="177" spans="1:1">
      <c r="A177" s="9" t="s">
        <v>289</v>
      </c>
    </row>
    <row r="178" spans="1:1">
      <c r="A178" s="9" t="s">
        <v>290</v>
      </c>
    </row>
    <row r="179" spans="1:1">
      <c r="A179" s="9" t="s">
        <v>291</v>
      </c>
    </row>
    <row r="180" spans="1:1">
      <c r="A180" s="9" t="s">
        <v>292</v>
      </c>
    </row>
    <row r="181" spans="1:1">
      <c r="A181" s="9" t="s">
        <v>293</v>
      </c>
    </row>
    <row r="182" spans="1:1">
      <c r="A182" s="9" t="s">
        <v>294</v>
      </c>
    </row>
    <row r="183" spans="1:1">
      <c r="A183" s="9" t="s">
        <v>295</v>
      </c>
    </row>
    <row r="184" spans="1:1">
      <c r="A184" s="9" t="s">
        <v>296</v>
      </c>
    </row>
    <row r="185" spans="1:1">
      <c r="A185" s="9" t="s">
        <v>297</v>
      </c>
    </row>
    <row r="186" spans="1:1">
      <c r="A186" s="9" t="s">
        <v>298</v>
      </c>
    </row>
    <row r="187" spans="1:1">
      <c r="A187" s="9" t="s">
        <v>299</v>
      </c>
    </row>
    <row r="188" spans="1:1">
      <c r="A188" s="9" t="s">
        <v>300</v>
      </c>
    </row>
    <row r="189" spans="1:1">
      <c r="A189" s="9" t="s">
        <v>301</v>
      </c>
    </row>
    <row r="190" spans="1:1">
      <c r="A190" s="9" t="s">
        <v>302</v>
      </c>
    </row>
    <row r="191" spans="1:1">
      <c r="A191" s="9" t="s">
        <v>303</v>
      </c>
    </row>
    <row r="192" spans="1:1">
      <c r="A192" s="9" t="s">
        <v>304</v>
      </c>
    </row>
    <row r="193" spans="1:1">
      <c r="A193" s="9" t="s">
        <v>305</v>
      </c>
    </row>
    <row r="194" spans="1:1">
      <c r="A194" s="9" t="s">
        <v>306</v>
      </c>
    </row>
    <row r="195" spans="1:1">
      <c r="A195" s="9" t="s">
        <v>307</v>
      </c>
    </row>
    <row r="196" spans="1:1">
      <c r="A196" s="9" t="s">
        <v>308</v>
      </c>
    </row>
    <row r="197" spans="1:1">
      <c r="A197" s="9" t="s">
        <v>309</v>
      </c>
    </row>
    <row r="198" spans="1:1">
      <c r="A198" s="9" t="s">
        <v>310</v>
      </c>
    </row>
    <row r="199" spans="1:1">
      <c r="A199" s="9" t="s">
        <v>311</v>
      </c>
    </row>
    <row r="200" spans="1:1">
      <c r="A200" s="9" t="s">
        <v>312</v>
      </c>
    </row>
    <row r="201" spans="1:1">
      <c r="A201" s="9" t="s">
        <v>313</v>
      </c>
    </row>
    <row r="202" spans="1:1">
      <c r="A202" s="9" t="s">
        <v>314</v>
      </c>
    </row>
    <row r="203" spans="1:1">
      <c r="A203" s="9" t="s">
        <v>315</v>
      </c>
    </row>
    <row r="204" spans="1:1">
      <c r="A204" s="9" t="s">
        <v>316</v>
      </c>
    </row>
    <row r="205" spans="1:1">
      <c r="A205" s="9" t="s">
        <v>317</v>
      </c>
    </row>
    <row r="206" spans="1:1">
      <c r="A206" s="9" t="s">
        <v>318</v>
      </c>
    </row>
    <row r="207" spans="1:1">
      <c r="A207" s="9" t="s">
        <v>319</v>
      </c>
    </row>
    <row r="208" spans="1:1">
      <c r="A208" s="9" t="s">
        <v>320</v>
      </c>
    </row>
    <row r="209" spans="1:1">
      <c r="A209" s="9" t="s">
        <v>321</v>
      </c>
    </row>
    <row r="210" spans="1:1">
      <c r="A210" s="9" t="s">
        <v>322</v>
      </c>
    </row>
    <row r="211" spans="1:1">
      <c r="A211" s="9" t="s">
        <v>323</v>
      </c>
    </row>
    <row r="212" spans="1:1">
      <c r="A212" s="9" t="s">
        <v>324</v>
      </c>
    </row>
    <row r="213" spans="1:1">
      <c r="A213" s="9" t="s">
        <v>325</v>
      </c>
    </row>
    <row r="214" spans="1:1">
      <c r="A214" s="9" t="s">
        <v>326</v>
      </c>
    </row>
    <row r="215" spans="1:1">
      <c r="A215" s="9" t="s">
        <v>327</v>
      </c>
    </row>
    <row r="216" spans="1:1">
      <c r="A216" s="9" t="s">
        <v>328</v>
      </c>
    </row>
    <row r="217" spans="1:1">
      <c r="A217" s="9" t="s">
        <v>329</v>
      </c>
    </row>
    <row r="218" spans="1:1">
      <c r="A218" s="9" t="s">
        <v>330</v>
      </c>
    </row>
    <row r="219" spans="1:1">
      <c r="A219" s="9" t="s">
        <v>331</v>
      </c>
    </row>
    <row r="220" spans="1:1">
      <c r="A220" s="9" t="s">
        <v>332</v>
      </c>
    </row>
    <row r="221" spans="1:1">
      <c r="A221" s="9" t="s">
        <v>333</v>
      </c>
    </row>
    <row r="222" spans="1:1">
      <c r="A222" s="9" t="s">
        <v>334</v>
      </c>
    </row>
    <row r="223" spans="1:1">
      <c r="A223" s="9" t="s">
        <v>335</v>
      </c>
    </row>
    <row r="224" spans="1:1">
      <c r="A224" s="9" t="s">
        <v>336</v>
      </c>
    </row>
    <row r="225" spans="1:1">
      <c r="A225" s="9" t="s">
        <v>337</v>
      </c>
    </row>
    <row r="226" spans="1:1">
      <c r="A226" s="9" t="s">
        <v>338</v>
      </c>
    </row>
    <row r="227" spans="1:1">
      <c r="A227" s="9" t="s">
        <v>339</v>
      </c>
    </row>
    <row r="228" spans="1:1">
      <c r="A228" s="9" t="s">
        <v>340</v>
      </c>
    </row>
    <row r="229" spans="1:1">
      <c r="A229" s="9" t="s">
        <v>341</v>
      </c>
    </row>
    <row r="230" spans="1:1">
      <c r="A230" s="9" t="s">
        <v>342</v>
      </c>
    </row>
    <row r="231" spans="1:1">
      <c r="A231" s="9" t="s">
        <v>343</v>
      </c>
    </row>
    <row r="232" spans="1:1">
      <c r="A232" s="9" t="s">
        <v>344</v>
      </c>
    </row>
    <row r="233" spans="1:1">
      <c r="A233" s="9" t="s">
        <v>345</v>
      </c>
    </row>
    <row r="234" spans="1:1">
      <c r="A234" s="9" t="s">
        <v>346</v>
      </c>
    </row>
    <row r="235" spans="1:1">
      <c r="A235" s="9" t="s">
        <v>347</v>
      </c>
    </row>
    <row r="236" spans="1:1">
      <c r="A236" s="9" t="s">
        <v>348</v>
      </c>
    </row>
    <row r="237" spans="1:1">
      <c r="A237" s="9" t="s">
        <v>349</v>
      </c>
    </row>
    <row r="238" spans="1:1">
      <c r="A238" s="9" t="s">
        <v>350</v>
      </c>
    </row>
    <row r="239" spans="1:1">
      <c r="A239" s="9" t="s">
        <v>351</v>
      </c>
    </row>
    <row r="240" spans="1:1">
      <c r="A240" s="9" t="s">
        <v>352</v>
      </c>
    </row>
    <row r="241" spans="1:1">
      <c r="A241" s="9" t="s">
        <v>353</v>
      </c>
    </row>
    <row r="242" spans="1:1">
      <c r="A242" s="9" t="s">
        <v>354</v>
      </c>
    </row>
    <row r="243" spans="1:1">
      <c r="A243" s="9" t="s">
        <v>355</v>
      </c>
    </row>
    <row r="244" spans="1:1">
      <c r="A244" s="9" t="s">
        <v>356</v>
      </c>
    </row>
    <row r="245" spans="1:1">
      <c r="A245" s="9" t="s">
        <v>357</v>
      </c>
    </row>
    <row r="246" spans="1:1">
      <c r="A246" s="9" t="s">
        <v>358</v>
      </c>
    </row>
    <row r="247" spans="1:1">
      <c r="A247" s="9" t="s">
        <v>359</v>
      </c>
    </row>
    <row r="248" spans="1:1">
      <c r="A248" s="9" t="s">
        <v>360</v>
      </c>
    </row>
    <row r="249" spans="1:1">
      <c r="A249" s="9" t="s">
        <v>361</v>
      </c>
    </row>
    <row r="250" spans="1:1">
      <c r="A250" s="9" t="s">
        <v>362</v>
      </c>
    </row>
    <row r="251" spans="1:1">
      <c r="A251" s="9" t="s">
        <v>363</v>
      </c>
    </row>
    <row r="252" spans="1:1">
      <c r="A252" s="9" t="s">
        <v>364</v>
      </c>
    </row>
    <row r="253" spans="1:1">
      <c r="A253" s="9" t="s">
        <v>365</v>
      </c>
    </row>
    <row r="254" spans="1:1">
      <c r="A254" s="9" t="s">
        <v>366</v>
      </c>
    </row>
    <row r="255" spans="1:1">
      <c r="A255" s="9" t="s">
        <v>367</v>
      </c>
    </row>
    <row r="256" spans="1:1">
      <c r="A256" s="9" t="s">
        <v>368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Chars</vt:lpstr>
      <vt:lpstr>Lists</vt:lpstr>
      <vt:lpstr>POAM</vt:lpstr>
      <vt:lpstr>Planning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Fisher, Benjamin Standal (Ben) CIV USARMY CEPOJ (USA)</dc:creator>
  <cp:lastModifiedBy>Fisher, Benjamin Standal (Ben) CIV USARMY CEPOJ (USA)</cp:lastModifiedBy>
  <cp:lastPrinted>2025-10-06T00:46:51Z</cp:lastPrinted>
  <dcterms:created xsi:type="dcterms:W3CDTF">2025-10-03T03:53:33Z</dcterms:created>
  <dcterms:modified xsi:type="dcterms:W3CDTF">2025-11-14T01:37:20Z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older_Number">
    <vt:lpwstr/>
  </property>
  <property fmtid="{D5CDD505-2E9C-101B-9397-08002B2CF9AE}" pid="3" name="Folder_Code">
    <vt:lpwstr/>
  </property>
  <property fmtid="{D5CDD505-2E9C-101B-9397-08002B2CF9AE}" pid="4" name="Folder_Name">
    <vt:lpwstr/>
  </property>
  <property fmtid="{D5CDD505-2E9C-101B-9397-08002B2CF9AE}" pid="5" name="Folder_Description">
    <vt:lpwstr/>
  </property>
  <property fmtid="{D5CDD505-2E9C-101B-9397-08002B2CF9AE}" pid="6" name="/Folder_Name/">
    <vt:lpwstr/>
  </property>
  <property fmtid="{D5CDD505-2E9C-101B-9397-08002B2CF9AE}" pid="7" name="/Folder_Description/">
    <vt:lpwstr/>
  </property>
  <property fmtid="{D5CDD505-2E9C-101B-9397-08002B2CF9AE}" pid="8" name="Folder_Version">
    <vt:lpwstr/>
  </property>
  <property fmtid="{D5CDD505-2E9C-101B-9397-08002B2CF9AE}" pid="9" name="Folder_VersionSeq">
    <vt:lpwstr/>
  </property>
  <property fmtid="{D5CDD505-2E9C-101B-9397-08002B2CF9AE}" pid="10" name="Folder_Manager">
    <vt:lpwstr/>
  </property>
  <property fmtid="{D5CDD505-2E9C-101B-9397-08002B2CF9AE}" pid="11" name="Folder_ManagerDesc">
    <vt:lpwstr/>
  </property>
  <property fmtid="{D5CDD505-2E9C-101B-9397-08002B2CF9AE}" pid="12" name="Folder_Storage">
    <vt:lpwstr/>
  </property>
  <property fmtid="{D5CDD505-2E9C-101B-9397-08002B2CF9AE}" pid="13" name="Folder_StorageDesc">
    <vt:lpwstr/>
  </property>
  <property fmtid="{D5CDD505-2E9C-101B-9397-08002B2CF9AE}" pid="14" name="Folder_Creator">
    <vt:lpwstr/>
  </property>
  <property fmtid="{D5CDD505-2E9C-101B-9397-08002B2CF9AE}" pid="15" name="Folder_CreatorDesc">
    <vt:lpwstr/>
  </property>
  <property fmtid="{D5CDD505-2E9C-101B-9397-08002B2CF9AE}" pid="16" name="Folder_CreateDate">
    <vt:lpwstr/>
  </property>
  <property fmtid="{D5CDD505-2E9C-101B-9397-08002B2CF9AE}" pid="17" name="Folder_Updater">
    <vt:lpwstr/>
  </property>
  <property fmtid="{D5CDD505-2E9C-101B-9397-08002B2CF9AE}" pid="18" name="Folder_UpdaterDesc">
    <vt:lpwstr/>
  </property>
  <property fmtid="{D5CDD505-2E9C-101B-9397-08002B2CF9AE}" pid="19" name="Folder_UpdateDate">
    <vt:lpwstr/>
  </property>
  <property fmtid="{D5CDD505-2E9C-101B-9397-08002B2CF9AE}" pid="20" name="Document_Number">
    <vt:lpwstr/>
  </property>
  <property fmtid="{D5CDD505-2E9C-101B-9397-08002B2CF9AE}" pid="21" name="Document_Name">
    <vt:lpwstr/>
  </property>
  <property fmtid="{D5CDD505-2E9C-101B-9397-08002B2CF9AE}" pid="22" name="Document_FileName">
    <vt:lpwstr/>
  </property>
  <property fmtid="{D5CDD505-2E9C-101B-9397-08002B2CF9AE}" pid="23" name="Document_Version">
    <vt:lpwstr/>
  </property>
  <property fmtid="{D5CDD505-2E9C-101B-9397-08002B2CF9AE}" pid="24" name="Document_VersionSeq">
    <vt:lpwstr/>
  </property>
  <property fmtid="{D5CDD505-2E9C-101B-9397-08002B2CF9AE}" pid="25" name="Document_Creator">
    <vt:lpwstr/>
  </property>
  <property fmtid="{D5CDD505-2E9C-101B-9397-08002B2CF9AE}" pid="26" name="Document_CreatorDesc">
    <vt:lpwstr/>
  </property>
  <property fmtid="{D5CDD505-2E9C-101B-9397-08002B2CF9AE}" pid="27" name="Document_CreateDate">
    <vt:lpwstr/>
  </property>
  <property fmtid="{D5CDD505-2E9C-101B-9397-08002B2CF9AE}" pid="28" name="Document_Updater">
    <vt:lpwstr/>
  </property>
  <property fmtid="{D5CDD505-2E9C-101B-9397-08002B2CF9AE}" pid="29" name="Document_UpdaterDesc">
    <vt:lpwstr/>
  </property>
  <property fmtid="{D5CDD505-2E9C-101B-9397-08002B2CF9AE}" pid="30" name="Document_UpdateDate">
    <vt:lpwstr/>
  </property>
  <property fmtid="{D5CDD505-2E9C-101B-9397-08002B2CF9AE}" pid="31" name="Document_Size">
    <vt:lpwstr/>
  </property>
  <property fmtid="{D5CDD505-2E9C-101B-9397-08002B2CF9AE}" pid="32" name="Document_Storage">
    <vt:lpwstr/>
  </property>
  <property fmtid="{D5CDD505-2E9C-101B-9397-08002B2CF9AE}" pid="33" name="Document_StorageDesc">
    <vt:lpwstr/>
  </property>
  <property fmtid="{D5CDD505-2E9C-101B-9397-08002B2CF9AE}" pid="34" name="Document_Department">
    <vt:lpwstr/>
  </property>
  <property fmtid="{D5CDD505-2E9C-101B-9397-08002B2CF9AE}" pid="35" name="Document_DepartmentDesc">
    <vt:lpwstr/>
  </property>
</Properties>
</file>