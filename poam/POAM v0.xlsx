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2ee9bsf\Documents\03 Repos\01 Excel\05a POAMs\"/>
    </mc:Choice>
  </mc:AlternateContent>
  <xr:revisionPtr revIDLastSave="0" documentId="13_ncr:1_{7F0DAECF-0D5E-44DD-A191-2F9574C0939C}" xr6:coauthVersionLast="47" xr6:coauthVersionMax="47" xr10:uidLastSave="{00000000-0000-0000-0000-000000000000}"/>
  <bookViews>
    <workbookView xWindow="-120" yWindow="-90" windowWidth="29040" windowHeight="15690" firstSheet="1" activeTab="2" xr2:uid="{E032D37B-1977-4533-8665-27725D762312}"/>
  </bookViews>
  <sheets>
    <sheet name="Chars" sheetId="2" state="hidden" r:id="rId1"/>
    <sheet name="Lists" sheetId="3" r:id="rId2"/>
    <sheet name="POAM" sheetId="1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2" i="3"/>
  <c r="C3" i="2"/>
  <c r="C4" i="2"/>
  <c r="C5" i="2"/>
  <c r="C6" i="2"/>
  <c r="C2" i="2"/>
</calcChain>
</file>

<file path=xl/sharedStrings.xml><?xml version="1.0" encoding="utf-8"?>
<sst xmlns="http://schemas.openxmlformats.org/spreadsheetml/2006/main" count="117" uniqueCount="117">
  <si>
    <t>ID</t>
  </si>
  <si>
    <t>Category</t>
  </si>
  <si>
    <t>Subject</t>
  </si>
  <si>
    <t>Item</t>
  </si>
  <si>
    <t>Notes</t>
  </si>
  <si>
    <t>Action</t>
  </si>
  <si>
    <t>Status</t>
  </si>
  <si>
    <t>POAM Register</t>
  </si>
  <si>
    <t>Long lead items</t>
  </si>
  <si>
    <t>Phasing</t>
  </si>
  <si>
    <t>GFGI, GFCI, CFCI</t>
  </si>
  <si>
    <t>Waivers/Exemptions</t>
  </si>
  <si>
    <t>J/As</t>
  </si>
  <si>
    <t>Utility conflicts</t>
  </si>
  <si>
    <t>Environmental concerns</t>
  </si>
  <si>
    <t>CLINs/Bid options</t>
  </si>
  <si>
    <t>Code triggers</t>
  </si>
  <si>
    <t>Construction practice differences</t>
  </si>
  <si>
    <t>Acceptable alternatives</t>
  </si>
  <si>
    <t>DD1391 compliance (scope, budget, etc.)</t>
  </si>
  <si>
    <t>CSRA</t>
  </si>
  <si>
    <t>MCX or COS involvement</t>
  </si>
  <si>
    <t>SCIF/SIPRNet/NIPRNet</t>
  </si>
  <si>
    <t>Paperwork/Submittal deficiencies</t>
  </si>
  <si>
    <t>QCP</t>
  </si>
  <si>
    <t>PMP</t>
  </si>
  <si>
    <t>Risk register</t>
  </si>
  <si>
    <t>POAM</t>
  </si>
  <si>
    <t>RFI log</t>
  </si>
  <si>
    <t>ECIFP</t>
  </si>
  <si>
    <t>Host Nation (civil) influence, dependancies, requirements</t>
  </si>
  <si>
    <t>Adjacency influence or dependencies</t>
  </si>
  <si>
    <t>Must match/integrate with existing</t>
  </si>
  <si>
    <t>Drawing issues</t>
  </si>
  <si>
    <t>Spec issues</t>
  </si>
  <si>
    <t>QC documentation</t>
  </si>
  <si>
    <t>Design Analysis</t>
  </si>
  <si>
    <t>PDCR</t>
  </si>
  <si>
    <t>MRCI</t>
  </si>
  <si>
    <t>Hazmat</t>
  </si>
  <si>
    <t>Geotechnical</t>
  </si>
  <si>
    <t>Investigations</t>
  </si>
  <si>
    <t>Topo</t>
  </si>
  <si>
    <t>┣</t>
  </si>
  <si>
    <t>┣ Basic characterization</t>
  </si>
  <si>
    <t>┣ GPR</t>
  </si>
  <si>
    <t>┗</t>
  </si>
  <si>
    <t>┗ Shearwave velocity testing, etc.</t>
  </si>
  <si>
    <t>┃</t>
  </si>
  <si>
    <t>━</t>
  </si>
  <si>
    <t>┳</t>
  </si>
  <si>
    <t>Char</t>
  </si>
  <si>
    <t>Unicode</t>
  </si>
  <si>
    <t>Hex</t>
  </si>
  <si>
    <t>┣ Surface terrain features</t>
  </si>
  <si>
    <t>┣ Utility locates</t>
  </si>
  <si>
    <t>┗ Bathymetry</t>
  </si>
  <si>
    <t>Seismic assessement (ASCE 41)</t>
  </si>
  <si>
    <t>UXO</t>
  </si>
  <si>
    <t>Cultural studies</t>
  </si>
  <si>
    <t>Historic considerations</t>
  </si>
  <si>
    <t>DD1354 - Property transfer</t>
  </si>
  <si>
    <t>As-builts and existing data</t>
  </si>
  <si>
    <t>Local US requirementes</t>
  </si>
  <si>
    <t>┣ Service component</t>
  </si>
  <si>
    <t>┣ Installation policies</t>
  </si>
  <si>
    <t>┗ Unit policies</t>
  </si>
  <si>
    <t>Blast protection design</t>
  </si>
  <si>
    <t>Explosive safety review/certification</t>
  </si>
  <si>
    <t>Blast arc encumberance</t>
  </si>
  <si>
    <t>Physical security</t>
  </si>
  <si>
    <t>ATFP</t>
  </si>
  <si>
    <t>ABA/ADA influences</t>
  </si>
  <si>
    <t>Deep foundations</t>
  </si>
  <si>
    <t>Soil improvements</t>
  </si>
  <si>
    <t>Dewatering</t>
  </si>
  <si>
    <t>Site approval constraints/requirements</t>
  </si>
  <si>
    <t>Site drainage plans</t>
  </si>
  <si>
    <t>Height restrictions</t>
  </si>
  <si>
    <t>Commissioning</t>
  </si>
  <si>
    <t>Third-party certification</t>
  </si>
  <si>
    <t>OPR (JDDG Sec. 18.4)</t>
  </si>
  <si>
    <t>Electric power requirements</t>
  </si>
  <si>
    <t>Cyber for Facility Related Constrol Systems (FRCS)</t>
  </si>
  <si>
    <t xml:space="preserve">┣ Energy Management and Control Systems (EMCS) </t>
  </si>
  <si>
    <t>┣ Utility Monitoring and Control Systems (UMCS)</t>
  </si>
  <si>
    <t>┣ Electronic Security Systems (ESS)</t>
  </si>
  <si>
    <t>┣ Building Automation Systems (BAC)</t>
  </si>
  <si>
    <t>┣ Supervisory Control and Data Acquisition (SCADA) systems</t>
  </si>
  <si>
    <t>┣ HVAC Direct Digital Controls (DDC) Controls</t>
  </si>
  <si>
    <t>┣ Network Utility Control Systems</t>
  </si>
  <si>
    <t>┣ IP-based Smart Meters</t>
  </si>
  <si>
    <t>┣ IP-based lighting control systems</t>
  </si>
  <si>
    <t>┣ IP-based public clock systems</t>
  </si>
  <si>
    <t>┣ IP-based photovoltaic (PV) system monitoring</t>
  </si>
  <si>
    <t>┗ Fire alarm reporting systems</t>
  </si>
  <si>
    <t>Cybersecurity</t>
  </si>
  <si>
    <t>Operations and Maintenance Support Information (OMSI)</t>
  </si>
  <si>
    <t>General</t>
  </si>
  <si>
    <t>Construction</t>
  </si>
  <si>
    <t>Special equipment requirements</t>
  </si>
  <si>
    <t>Disciplines</t>
  </si>
  <si>
    <t>Architectural</t>
  </si>
  <si>
    <t>Civil</t>
  </si>
  <si>
    <t>Contracting</t>
  </si>
  <si>
    <t>Electrical</t>
  </si>
  <si>
    <t>Environmental</t>
  </si>
  <si>
    <t>Equipment</t>
  </si>
  <si>
    <t>Mechanical</t>
  </si>
  <si>
    <t>Plumbing</t>
  </si>
  <si>
    <t>Structural</t>
  </si>
  <si>
    <t>Landscape</t>
  </si>
  <si>
    <t>Telecomm</t>
  </si>
  <si>
    <t>Interiors</t>
  </si>
  <si>
    <t>Cultural</t>
  </si>
  <si>
    <t>Count</t>
  </si>
  <si>
    <t>Ref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</si>
</sst>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>
    <font>
      <sz val="11"/>
      <color theme="1"/>
      <name val="Aptos Narrow"/>
      <family val="2"/>
      <scheme val="minor"/>
    </font>
    <font>
      <b/>
      <sz val="14"/>
      <color theme="1"/>
      <name val="Aptos 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Font="1" applyAlignment="1">
      <alignment horizontal="left"/>
    </xf>
    <xf numFmtId="0" fontId="0" fillId="0" borderId="0" xfId="0" applyFont="1" applyAlignment="1">
      <alignment horizontal="left" wrapText="1"/>
    </xf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 applyAlignment="1">
      <alignment horizontal="left"/>
    </xf>
    <xf numFmtId="0" fontId="2" fillId="0" borderId="1" xfId="0" applyFont="1" applyBorder="1" applyAlignment="1">
      <alignment horizontal="left"/>
    </xf>
    <xf numFmtId="0" fontId="2" fillId="0" borderId="0" xfId="0" applyFont="1"/>
    <xf numFmtId="0" fontId="2" fillId="0" borderId="0" xfId="0" applyFont="1" applyAlignment="1">
      <alignment horizontal="right"/>
    </xf>
  </cellXfs>
  <cellStyles count="1">
    <cellStyle name="Normal" xfId="0" builtinId="0"/>
  </cellStyles>
  <dxfs count="23">
    <dxf>
      <font>
        <color theme="1" tint="0.499984740745262"/>
      </font>
      <fill>
        <patternFill>
          <bgColor theme="0" tint="-0.14996795556505021"/>
        </patternFill>
      </fill>
    </dxf>
    <dxf>
      <font>
        <b/>
        <i val="0"/>
        <color theme="0"/>
      </font>
      <fill>
        <patternFill>
          <bgColor rgb="FFFF6600"/>
        </patternFill>
      </fill>
    </dxf>
    <dxf>
      <font>
        <b val="0"/>
        <i val="0"/>
        <color auto="1"/>
      </font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00B050"/>
        </patternFill>
      </fill>
    </dxf>
    <dxf>
      <font>
        <b val="0"/>
        <i val="0"/>
        <color theme="0" tint="-0.499984740745262"/>
      </font>
      <fill>
        <patternFill>
          <bgColor theme="0" tint="-4.9989318521683403E-2"/>
        </patternFill>
      </fill>
    </dxf>
    <dxf>
      <font>
        <b val="0"/>
        <i val="0"/>
        <color auto="1"/>
      </font>
      <fill>
        <patternFill>
          <bgColor rgb="FFCCFFCC"/>
        </patternFill>
      </fill>
    </dxf>
    <dxf>
      <font>
        <b val="0"/>
        <i val="0"/>
        <color auto="1"/>
      </font>
      <fill>
        <patternFill>
          <bgColor rgb="FFFFFFCC"/>
        </patternFill>
      </fill>
    </dxf>
    <dxf>
      <font>
        <b val="0"/>
        <i val="0"/>
        <color auto="1"/>
      </font>
      <fill>
        <patternFill>
          <bgColor rgb="FFFFCCC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left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border>
        <top style="thin">
          <color theme="0" tint="-0.24994659260841701"/>
        </top>
      </border>
    </dxf>
    <dxf>
      <border>
        <top style="thin">
          <color theme="0" tint="-0.24994659260841701"/>
        </top>
      </border>
    </dxf>
    <dxf>
      <font>
        <b/>
        <i val="0"/>
        <color theme="0"/>
      </font>
      <fill>
        <patternFill>
          <bgColor theme="1" tint="0.24994659260841701"/>
        </patternFill>
      </fill>
      <border>
        <left style="medium">
          <color theme="1" tint="0.24994659260841701"/>
        </left>
        <right style="medium">
          <color theme="1" tint="0.24994659260841701"/>
        </right>
        <top style="medium">
          <color theme="1" tint="0.24994659260841701"/>
        </top>
        <bottom style="medium">
          <color theme="1" tint="0.24994659260841701"/>
        </bottom>
      </border>
    </dxf>
    <dxf>
      <border>
        <left style="medium">
          <color theme="1" tint="0.24994659260841701"/>
        </left>
        <right style="medium">
          <color theme="1" tint="0.24994659260841701"/>
        </right>
        <top style="medium">
          <color theme="1" tint="0.24994659260841701"/>
        </top>
        <bottom style="medium">
          <color theme="1" tint="0.24994659260841701"/>
        </bottom>
        <vertical style="thin">
          <color theme="0" tint="-4.9989318521683403E-2"/>
        </vertical>
      </border>
    </dxf>
  </dxfs>
  <tableStyles count="1" defaultTableStyle="TableStyleMedium2" defaultPivotStyle="PivotStyleLight16">
    <tableStyle name="POAMTable" pivot="0" count="4" xr9:uid="{640E07F2-3868-4E9C-ABC5-2E36C285F0AF}">
      <tableStyleElement type="wholeTable" dxfId="22"/>
      <tableStyleElement type="headerRow" dxfId="21"/>
      <tableStyleElement type="firstRowStripe" dxfId="20"/>
      <tableStyleElement type="secondRowStripe" dxfId="19"/>
    </tableStyle>
  </tableStyles>
  <colors>
    <mruColors>
      <color rgb="FFFFCCCC"/>
      <color rgb="FFFFFFCC"/>
      <color rgb="FFCCFFCC"/>
      <color rgb="FF99FF99"/>
      <color rgb="FFFF6600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A64DA6E-CE20-4406-88AA-FE3E2797A27B}" name="Disciplines" displayName="Disciplines" ref="A1:A17" totalsRowShown="0" headerRowDxfId="18">
  <autoFilter ref="A1:A17" xr:uid="{0A64DA6E-CE20-4406-88AA-FE3E2797A27B}"/>
  <sortState xmlns:xlrd2="http://schemas.microsoft.com/office/spreadsheetml/2017/richdata2" ref="A2:A17">
    <sortCondition ref="A1:A17"/>
  </sortState>
  <tableColumns count="1">
    <tableColumn id="1" xr3:uid="{BA3CD48F-DC83-4349-9792-A2928135BDBF}" name="Disciplines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D37A90-E0DB-4FCA-B755-04EC8B60F984}" name="POAMs" displayName="POAMs" ref="A3:H84" totalsRowShown="0" headerRowDxfId="17" dataDxfId="16">
  <autoFilter ref="A3:H84" xr:uid="{BFD37A90-E0DB-4FCA-B755-04EC8B60F984}"/>
  <tableColumns count="8">
    <tableColumn id="1" xr3:uid="{62E67527-249F-47C1-8731-7452A689DF30}" name="ID" dataDxfId="15"/>
    <tableColumn id="2" xr3:uid="{FEAC263C-6891-4D7F-B970-F44D84416B81}" name="Category" dataDxfId="14"/>
    <tableColumn id="3" xr3:uid="{7005D407-F3D5-45D0-8211-B397ADDFD7E8}" name="Subject" dataDxfId="13"/>
    <tableColumn id="5" xr3:uid="{79CAFE3A-F2F6-41B6-9E62-B4F951DDB0E2}" name="Item" dataDxfId="12"/>
    <tableColumn id="4" xr3:uid="{882F2C44-0E57-489E-8A44-B581B4DDC542}" name="Ref" dataDxfId="11"/>
    <tableColumn id="6" xr3:uid="{28DD3715-6B68-46D0-A073-6DCDC0A1DCEF}" name="Notes" dataDxfId="10"/>
    <tableColumn id="7" xr3:uid="{01990875-C221-4581-8130-535AD17767A8}" name="Action" dataDxfId="9"/>
    <tableColumn id="8" xr3:uid="{C05B3606-53C3-44D8-A636-FF7B42AFD155}" name="Status" dataDxfId="8"/>
  </tableColumns>
  <tableStyleInfo name="POAMTable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E5188-A8DE-454E-9CE5-1A61BB3D8F7E}">
  <dimension ref="A1:C6"/>
  <sheetViews>
    <sheetView workbookViewId="0">
      <selection activeCell="F12" sqref="F12"/>
    </sheetView>
  </sheetViews>
  <sheetFormatPr defaultRowHeight="15"/>
  <cols>
    <col min="1" max="16384" width="9.140625" style="4"/>
  </cols>
  <sheetData>
    <row r="1" spans="1:3">
      <c r="A1" s="6" t="s">
        <v>51</v>
      </c>
      <c r="B1" s="6" t="s">
        <v>53</v>
      </c>
      <c r="C1" s="6" t="s">
        <v>52</v>
      </c>
    </row>
    <row r="2" spans="1:3">
      <c r="A2" s="4" t="s">
        <v>49</v>
      </c>
      <c r="B2" s="5">
        <v>2501</v>
      </c>
      <c r="C2" s="4">
        <f>HEX2DEC(B2)</f>
        <v>9473</v>
      </c>
    </row>
    <row r="3" spans="1:3">
      <c r="A3" s="4" t="s">
        <v>50</v>
      </c>
      <c r="B3" s="5">
        <v>2533</v>
      </c>
      <c r="C3" s="4">
        <f t="shared" ref="C3:C6" si="0">HEX2DEC(B3)</f>
        <v>9523</v>
      </c>
    </row>
    <row r="4" spans="1:3">
      <c r="A4" s="4" t="s">
        <v>48</v>
      </c>
      <c r="B4" s="5">
        <v>2503</v>
      </c>
      <c r="C4" s="4">
        <f t="shared" si="0"/>
        <v>9475</v>
      </c>
    </row>
    <row r="5" spans="1:3">
      <c r="A5" s="4" t="s">
        <v>43</v>
      </c>
      <c r="B5" s="5">
        <v>2523</v>
      </c>
      <c r="C5" s="4">
        <f t="shared" si="0"/>
        <v>9507</v>
      </c>
    </row>
    <row r="6" spans="1:3">
      <c r="A6" s="4" t="s">
        <v>46</v>
      </c>
      <c r="B6" s="5">
        <v>2517</v>
      </c>
      <c r="C6" s="4">
        <f t="shared" si="0"/>
        <v>9495</v>
      </c>
    </row>
  </sheetData>
  <pageMargins left="0.7" right="0.7" top="0.75" bottom="0.75" header="0.3" footer="0.3"/>
  <pageSetup orientation="portrait" verticalDpi="597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204B74-7C24-463D-85DC-F0FE0D32B51D}">
  <dimension ref="A1:B17"/>
  <sheetViews>
    <sheetView workbookViewId="0">
      <selection activeCell="A18" sqref="A18"/>
    </sheetView>
  </sheetViews>
  <sheetFormatPr defaultRowHeight="15"/>
  <cols>
    <col min="1" max="1" width="54.7109375" customWidth="1"/>
  </cols>
  <sheetData>
    <row r="1" spans="1:2">
      <c r="A1" s="7" t="s">
        <v>101</v>
      </c>
      <c r="B1" s="8" t="s">
        <v>115</v>
      </c>
    </row>
    <row r="2" spans="1:2">
      <c r="A2" t="s">
        <v>102</v>
      </c>
      <c r="B2">
        <f>COUNTIF($A2:$A$2,A2)</f>
        <v>1</v>
      </c>
    </row>
    <row r="3" spans="1:2">
      <c r="A3" t="s">
        <v>103</v>
      </c>
      <c r="B3">
        <f>COUNTIF($A$2:$A3,A3)</f>
        <v>1</v>
      </c>
    </row>
    <row r="4" spans="1:2">
      <c r="A4" t="s">
        <v>99</v>
      </c>
      <c r="B4">
        <f>COUNTIF($A$2:$A4,A4)</f>
        <v>1</v>
      </c>
    </row>
    <row r="5" spans="1:2">
      <c r="A5" t="s">
        <v>104</v>
      </c>
      <c r="B5">
        <f>COUNTIF($A$2:$A5,A5)</f>
        <v>1</v>
      </c>
    </row>
    <row r="6" spans="1:2">
      <c r="A6" t="s">
        <v>114</v>
      </c>
      <c r="B6">
        <f>COUNTIF($A$2:$A6,A6)</f>
        <v>1</v>
      </c>
    </row>
    <row r="7" spans="1:2">
      <c r="A7" t="s">
        <v>96</v>
      </c>
      <c r="B7">
        <f>COUNTIF($A$2:$A7,A7)</f>
        <v>1</v>
      </c>
    </row>
    <row r="8" spans="1:2">
      <c r="A8" t="s">
        <v>105</v>
      </c>
      <c r="B8">
        <f>COUNTIF($A$2:$A8,A8)</f>
        <v>1</v>
      </c>
    </row>
    <row r="9" spans="1:2">
      <c r="A9" t="s">
        <v>106</v>
      </c>
      <c r="B9">
        <f>COUNTIF($A$2:$A9,A9)</f>
        <v>1</v>
      </c>
    </row>
    <row r="10" spans="1:2">
      <c r="A10" t="s">
        <v>107</v>
      </c>
      <c r="B10">
        <f>COUNTIF($A$2:$A10,A10)</f>
        <v>1</v>
      </c>
    </row>
    <row r="11" spans="1:2">
      <c r="A11" t="s">
        <v>98</v>
      </c>
      <c r="B11">
        <f>COUNTIF($A$2:$A11,A11)</f>
        <v>1</v>
      </c>
    </row>
    <row r="12" spans="1:2">
      <c r="A12" t="s">
        <v>113</v>
      </c>
      <c r="B12">
        <f>COUNTIF($A$2:$A12,A12)</f>
        <v>1</v>
      </c>
    </row>
    <row r="13" spans="1:2">
      <c r="A13" t="s">
        <v>111</v>
      </c>
      <c r="B13">
        <f>COUNTIF($A$2:$A13,A13)</f>
        <v>1</v>
      </c>
    </row>
    <row r="14" spans="1:2">
      <c r="A14" t="s">
        <v>108</v>
      </c>
      <c r="B14">
        <f>COUNTIF($A$2:$A14,A14)</f>
        <v>1</v>
      </c>
    </row>
    <row r="15" spans="1:2">
      <c r="A15" t="s">
        <v>109</v>
      </c>
      <c r="B15">
        <f>COUNTIF($A$2:$A15,A15)</f>
        <v>1</v>
      </c>
    </row>
    <row r="16" spans="1:2">
      <c r="A16" t="s">
        <v>110</v>
      </c>
      <c r="B16">
        <f>COUNTIF($A$2:$A16,A16)</f>
        <v>1</v>
      </c>
    </row>
    <row r="17" spans="1:2">
      <c r="A17" t="s">
        <v>112</v>
      </c>
      <c r="B17">
        <f>COUNTIF($A$2:$A17,A17)</f>
        <v>1</v>
      </c>
    </row>
  </sheetData>
  <pageMargins left="0.7" right="0.7" top="0.75" bottom="0.75" header="0.3" footer="0.3"/>
  <pageSetup orientation="portrait" verticalDpi="597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FC5AE-5AA8-4BB0-AB6D-4D3571E8EC1A}">
  <dimension ref="A1:H84"/>
  <sheetViews>
    <sheetView showGridLines="0" tabSelected="1" workbookViewId="0">
      <selection activeCell="E6" sqref="E6"/>
    </sheetView>
  </sheetViews>
  <sheetFormatPr defaultRowHeight="15"/>
  <cols>
    <col min="1" max="1" width="9.140625" style="1"/>
    <col min="2" max="3" width="24.5703125" style="1" customWidth="1"/>
    <col min="4" max="4" width="56.140625" bestFit="1" customWidth="1"/>
    <col min="5" max="5" width="20" customWidth="1"/>
    <col min="6" max="6" width="45.140625" style="2" customWidth="1"/>
    <col min="7" max="7" width="35.28515625" style="2" customWidth="1"/>
    <col min="8" max="8" width="20.28515625" style="2" customWidth="1"/>
    <col min="9" max="9" width="14.5703125" style="1" customWidth="1"/>
    <col min="10" max="16384" width="9.140625" style="1"/>
  </cols>
  <sheetData>
    <row r="1" spans="1:8" ht="18">
      <c r="A1" s="3" t="s">
        <v>7</v>
      </c>
      <c r="D1" s="2"/>
      <c r="E1" s="2"/>
      <c r="H1" s="1"/>
    </row>
    <row r="2" spans="1:8" ht="18">
      <c r="A2" s="3"/>
      <c r="D2" s="2"/>
      <c r="E2" s="2"/>
      <c r="H2" s="1"/>
    </row>
    <row r="3" spans="1:8">
      <c r="A3" s="1" t="s">
        <v>0</v>
      </c>
      <c r="B3" s="1" t="s">
        <v>1</v>
      </c>
      <c r="C3" s="1" t="s">
        <v>2</v>
      </c>
      <c r="D3" s="2" t="s">
        <v>3</v>
      </c>
      <c r="E3" s="2" t="s">
        <v>116</v>
      </c>
      <c r="F3" s="2" t="s">
        <v>4</v>
      </c>
      <c r="G3" s="2" t="s">
        <v>5</v>
      </c>
      <c r="H3" s="1" t="s">
        <v>6</v>
      </c>
    </row>
    <row r="4" spans="1:8">
      <c r="D4" s="2" t="s">
        <v>8</v>
      </c>
      <c r="E4" s="2"/>
      <c r="H4" s="1"/>
    </row>
    <row r="5" spans="1:8">
      <c r="D5" s="2" t="s">
        <v>9</v>
      </c>
      <c r="E5" s="2"/>
      <c r="H5" s="1"/>
    </row>
    <row r="6" spans="1:8">
      <c r="D6" s="2" t="s">
        <v>15</v>
      </c>
      <c r="E6" s="2"/>
      <c r="H6" s="1"/>
    </row>
    <row r="7" spans="1:8">
      <c r="D7" s="2" t="s">
        <v>10</v>
      </c>
      <c r="E7" s="2"/>
      <c r="H7" s="1"/>
    </row>
    <row r="8" spans="1:8">
      <c r="D8" s="2" t="s">
        <v>100</v>
      </c>
      <c r="E8" s="2"/>
      <c r="H8" s="1"/>
    </row>
    <row r="9" spans="1:8">
      <c r="D9" s="2" t="s">
        <v>11</v>
      </c>
      <c r="E9" s="2"/>
      <c r="H9" s="1"/>
    </row>
    <row r="10" spans="1:8">
      <c r="D10" s="2" t="s">
        <v>12</v>
      </c>
      <c r="E10" s="2"/>
      <c r="H10" s="1"/>
    </row>
    <row r="11" spans="1:8">
      <c r="D11" s="2" t="s">
        <v>13</v>
      </c>
      <c r="E11" s="2"/>
      <c r="H11" s="1"/>
    </row>
    <row r="12" spans="1:8">
      <c r="D12" s="2" t="s">
        <v>14</v>
      </c>
      <c r="E12" s="2"/>
      <c r="H12" s="1"/>
    </row>
    <row r="13" spans="1:8">
      <c r="D13" s="2" t="s">
        <v>16</v>
      </c>
      <c r="E13" s="2"/>
      <c r="H13" s="1"/>
    </row>
    <row r="14" spans="1:8">
      <c r="D14" s="2" t="s">
        <v>17</v>
      </c>
      <c r="E14" s="2"/>
      <c r="H14" s="1"/>
    </row>
    <row r="15" spans="1:8">
      <c r="D15" s="2" t="s">
        <v>18</v>
      </c>
      <c r="E15" s="2"/>
      <c r="H15" s="1"/>
    </row>
    <row r="16" spans="1:8">
      <c r="D16" s="2" t="s">
        <v>19</v>
      </c>
      <c r="E16" s="2"/>
      <c r="H16" s="1"/>
    </row>
    <row r="17" spans="4:8">
      <c r="D17" s="2" t="s">
        <v>20</v>
      </c>
      <c r="E17" s="2"/>
      <c r="H17" s="1"/>
    </row>
    <row r="18" spans="4:8">
      <c r="D18" s="2" t="s">
        <v>21</v>
      </c>
      <c r="E18" s="2"/>
      <c r="H18" s="1"/>
    </row>
    <row r="19" spans="4:8">
      <c r="D19" s="2" t="s">
        <v>22</v>
      </c>
      <c r="E19" s="2"/>
      <c r="H19" s="1"/>
    </row>
    <row r="20" spans="4:8">
      <c r="D20" s="2" t="s">
        <v>23</v>
      </c>
      <c r="E20" s="2"/>
      <c r="H20" s="1"/>
    </row>
    <row r="21" spans="4:8">
      <c r="D21" s="2" t="s">
        <v>24</v>
      </c>
      <c r="E21" s="2"/>
      <c r="H21" s="1"/>
    </row>
    <row r="22" spans="4:8">
      <c r="D22" s="2" t="s">
        <v>25</v>
      </c>
      <c r="E22" s="2"/>
      <c r="H22" s="1"/>
    </row>
    <row r="23" spans="4:8">
      <c r="D23" s="2" t="s">
        <v>26</v>
      </c>
      <c r="E23" s="2"/>
      <c r="H23" s="1"/>
    </row>
    <row r="24" spans="4:8">
      <c r="D24" s="2" t="s">
        <v>27</v>
      </c>
      <c r="E24" s="2"/>
      <c r="H24" s="1"/>
    </row>
    <row r="25" spans="4:8">
      <c r="D25" s="2" t="s">
        <v>28</v>
      </c>
      <c r="E25" s="2"/>
      <c r="H25" s="1"/>
    </row>
    <row r="26" spans="4:8">
      <c r="D26" s="2" t="s">
        <v>29</v>
      </c>
      <c r="E26" s="2"/>
      <c r="H26" s="1"/>
    </row>
    <row r="27" spans="4:8">
      <c r="D27" s="2" t="s">
        <v>30</v>
      </c>
      <c r="E27" s="2"/>
      <c r="H27" s="1"/>
    </row>
    <row r="28" spans="4:8">
      <c r="D28" s="2" t="s">
        <v>31</v>
      </c>
      <c r="E28" s="2"/>
      <c r="H28" s="1"/>
    </row>
    <row r="29" spans="4:8">
      <c r="D29" s="2" t="s">
        <v>32</v>
      </c>
      <c r="E29" s="2"/>
      <c r="H29" s="1"/>
    </row>
    <row r="30" spans="4:8">
      <c r="D30" s="2" t="s">
        <v>33</v>
      </c>
      <c r="E30" s="2"/>
      <c r="H30" s="1"/>
    </row>
    <row r="31" spans="4:8">
      <c r="D31" s="2" t="s">
        <v>34</v>
      </c>
      <c r="E31" s="2"/>
      <c r="H31" s="1"/>
    </row>
    <row r="32" spans="4:8">
      <c r="D32" s="2" t="s">
        <v>35</v>
      </c>
      <c r="E32" s="2"/>
      <c r="H32" s="1"/>
    </row>
    <row r="33" spans="3:8">
      <c r="D33" s="2" t="s">
        <v>36</v>
      </c>
      <c r="E33" s="2"/>
      <c r="H33" s="1"/>
    </row>
    <row r="34" spans="3:8">
      <c r="D34" s="2" t="s">
        <v>37</v>
      </c>
      <c r="E34" s="2"/>
      <c r="H34" s="1"/>
    </row>
    <row r="35" spans="3:8">
      <c r="D35" s="2" t="s">
        <v>38</v>
      </c>
      <c r="E35" s="2"/>
      <c r="H35" s="1"/>
    </row>
    <row r="36" spans="3:8">
      <c r="D36" s="2" t="s">
        <v>39</v>
      </c>
      <c r="E36" s="2"/>
      <c r="H36" s="1"/>
    </row>
    <row r="37" spans="3:8">
      <c r="C37" s="1" t="s">
        <v>41</v>
      </c>
      <c r="D37" s="2" t="s">
        <v>40</v>
      </c>
      <c r="E37" s="2"/>
      <c r="H37" s="1"/>
    </row>
    <row r="38" spans="3:8">
      <c r="D38" s="2" t="s">
        <v>44</v>
      </c>
      <c r="E38" s="2"/>
      <c r="H38" s="1"/>
    </row>
    <row r="39" spans="3:8">
      <c r="D39" s="2" t="s">
        <v>45</v>
      </c>
      <c r="E39" s="2"/>
      <c r="H39" s="1"/>
    </row>
    <row r="40" spans="3:8">
      <c r="D40" s="2" t="s">
        <v>47</v>
      </c>
      <c r="E40" s="2"/>
      <c r="H40" s="1"/>
    </row>
    <row r="41" spans="3:8">
      <c r="D41" s="2" t="s">
        <v>42</v>
      </c>
      <c r="E41" s="2"/>
      <c r="H41" s="1"/>
    </row>
    <row r="42" spans="3:8">
      <c r="D42" s="2" t="s">
        <v>54</v>
      </c>
      <c r="E42" s="2"/>
      <c r="H42" s="1"/>
    </row>
    <row r="43" spans="3:8">
      <c r="D43" s="2" t="s">
        <v>55</v>
      </c>
      <c r="E43" s="2"/>
      <c r="H43" s="1"/>
    </row>
    <row r="44" spans="3:8">
      <c r="D44" s="2" t="s">
        <v>56</v>
      </c>
      <c r="E44" s="2"/>
      <c r="H44" s="1"/>
    </row>
    <row r="45" spans="3:8">
      <c r="D45" s="2" t="s">
        <v>57</v>
      </c>
      <c r="E45" s="2"/>
      <c r="H45" s="1"/>
    </row>
    <row r="46" spans="3:8">
      <c r="D46" s="2" t="s">
        <v>58</v>
      </c>
      <c r="E46" s="2"/>
      <c r="H46" s="1"/>
    </row>
    <row r="47" spans="3:8">
      <c r="D47" s="2" t="s">
        <v>59</v>
      </c>
      <c r="E47" s="2"/>
      <c r="H47" s="1"/>
    </row>
    <row r="48" spans="3:8">
      <c r="D48" s="2" t="s">
        <v>60</v>
      </c>
      <c r="E48" s="2"/>
      <c r="H48" s="1"/>
    </row>
    <row r="49" spans="4:8">
      <c r="D49" s="2" t="s">
        <v>61</v>
      </c>
      <c r="E49" s="2"/>
      <c r="H49" s="1"/>
    </row>
    <row r="50" spans="4:8">
      <c r="D50" s="2" t="s">
        <v>62</v>
      </c>
      <c r="E50" s="2"/>
      <c r="H50" s="1"/>
    </row>
    <row r="51" spans="4:8">
      <c r="D51" s="2" t="s">
        <v>63</v>
      </c>
      <c r="E51" s="2"/>
      <c r="H51" s="1"/>
    </row>
    <row r="52" spans="4:8">
      <c r="D52" s="2" t="s">
        <v>64</v>
      </c>
      <c r="E52" s="2"/>
      <c r="H52" s="1"/>
    </row>
    <row r="53" spans="4:8">
      <c r="D53" s="2" t="s">
        <v>65</v>
      </c>
      <c r="E53" s="2"/>
      <c r="H53" s="1"/>
    </row>
    <row r="54" spans="4:8">
      <c r="D54" s="2" t="s">
        <v>66</v>
      </c>
      <c r="E54" s="2"/>
      <c r="H54" s="1"/>
    </row>
    <row r="55" spans="4:8">
      <c r="D55" s="2" t="s">
        <v>67</v>
      </c>
      <c r="E55" s="2"/>
      <c r="H55" s="1"/>
    </row>
    <row r="56" spans="4:8">
      <c r="D56" s="2" t="s">
        <v>68</v>
      </c>
      <c r="E56" s="2"/>
      <c r="H56" s="1"/>
    </row>
    <row r="57" spans="4:8">
      <c r="D57" s="2" t="s">
        <v>69</v>
      </c>
      <c r="E57" s="2"/>
      <c r="H57" s="1"/>
    </row>
    <row r="58" spans="4:8">
      <c r="D58" s="2" t="s">
        <v>70</v>
      </c>
      <c r="E58" s="2"/>
      <c r="H58" s="1"/>
    </row>
    <row r="59" spans="4:8">
      <c r="D59" s="2" t="s">
        <v>71</v>
      </c>
      <c r="E59" s="2"/>
      <c r="H59" s="1"/>
    </row>
    <row r="60" spans="4:8">
      <c r="D60" s="2" t="s">
        <v>72</v>
      </c>
      <c r="E60" s="2"/>
      <c r="H60" s="1"/>
    </row>
    <row r="61" spans="4:8">
      <c r="D61" s="2" t="s">
        <v>73</v>
      </c>
      <c r="E61" s="2"/>
      <c r="H61" s="1"/>
    </row>
    <row r="62" spans="4:8">
      <c r="D62" s="2" t="s">
        <v>74</v>
      </c>
      <c r="E62" s="2"/>
      <c r="H62" s="1"/>
    </row>
    <row r="63" spans="4:8">
      <c r="D63" s="2" t="s">
        <v>75</v>
      </c>
      <c r="E63" s="2"/>
      <c r="H63" s="1"/>
    </row>
    <row r="64" spans="4:8">
      <c r="D64" s="2" t="s">
        <v>76</v>
      </c>
      <c r="E64" s="2"/>
      <c r="H64" s="1"/>
    </row>
    <row r="65" spans="4:8">
      <c r="D65" s="2" t="s">
        <v>77</v>
      </c>
      <c r="E65" s="2"/>
      <c r="H65" s="1"/>
    </row>
    <row r="66" spans="4:8">
      <c r="D66" s="2" t="s">
        <v>78</v>
      </c>
      <c r="E66" s="2"/>
      <c r="H66" s="1"/>
    </row>
    <row r="67" spans="4:8">
      <c r="D67" s="2" t="s">
        <v>79</v>
      </c>
      <c r="E67" s="2"/>
      <c r="H67" s="1"/>
    </row>
    <row r="68" spans="4:8">
      <c r="D68" s="2" t="s">
        <v>80</v>
      </c>
      <c r="E68" s="2"/>
      <c r="H68" s="1"/>
    </row>
    <row r="69" spans="4:8">
      <c r="D69" s="2" t="s">
        <v>81</v>
      </c>
      <c r="E69" s="2"/>
      <c r="H69" s="1"/>
    </row>
    <row r="70" spans="4:8">
      <c r="D70" s="2" t="s">
        <v>82</v>
      </c>
      <c r="E70" s="2"/>
      <c r="H70" s="1"/>
    </row>
    <row r="71" spans="4:8">
      <c r="D71" s="2" t="s">
        <v>83</v>
      </c>
      <c r="E71" s="2"/>
      <c r="H71" s="1"/>
    </row>
    <row r="72" spans="4:8">
      <c r="D72" s="2" t="s">
        <v>84</v>
      </c>
      <c r="E72" s="2"/>
      <c r="H72" s="1"/>
    </row>
    <row r="73" spans="4:8">
      <c r="D73" s="2" t="s">
        <v>85</v>
      </c>
      <c r="E73" s="2"/>
      <c r="H73" s="1"/>
    </row>
    <row r="74" spans="4:8">
      <c r="D74" s="2" t="s">
        <v>86</v>
      </c>
      <c r="E74" s="2"/>
      <c r="H74" s="1"/>
    </row>
    <row r="75" spans="4:8">
      <c r="D75" s="2" t="s">
        <v>87</v>
      </c>
      <c r="E75" s="2"/>
      <c r="H75" s="1"/>
    </row>
    <row r="76" spans="4:8">
      <c r="D76" s="2" t="s">
        <v>88</v>
      </c>
      <c r="E76" s="2"/>
      <c r="H76" s="1"/>
    </row>
    <row r="77" spans="4:8">
      <c r="D77" s="2" t="s">
        <v>89</v>
      </c>
      <c r="E77" s="2"/>
      <c r="H77" s="1"/>
    </row>
    <row r="78" spans="4:8">
      <c r="D78" s="2" t="s">
        <v>90</v>
      </c>
      <c r="E78" s="2"/>
      <c r="H78" s="1"/>
    </row>
    <row r="79" spans="4:8">
      <c r="D79" s="2" t="s">
        <v>91</v>
      </c>
      <c r="E79" s="2"/>
      <c r="H79" s="1"/>
    </row>
    <row r="80" spans="4:8">
      <c r="D80" s="2" t="s">
        <v>92</v>
      </c>
      <c r="E80" s="2"/>
      <c r="H80" s="1"/>
    </row>
    <row r="81" spans="4:8">
      <c r="D81" s="2" t="s">
        <v>93</v>
      </c>
      <c r="E81" s="2"/>
      <c r="H81" s="1"/>
    </row>
    <row r="82" spans="4:8">
      <c r="D82" s="2" t="s">
        <v>94</v>
      </c>
      <c r="E82" s="2"/>
      <c r="H82" s="1"/>
    </row>
    <row r="83" spans="4:8">
      <c r="D83" s="2" t="s">
        <v>95</v>
      </c>
      <c r="E83" s="2"/>
      <c r="H83" s="1"/>
    </row>
    <row r="84" spans="4:8">
      <c r="D84" s="2" t="s">
        <v>97</v>
      </c>
      <c r="E84" s="2"/>
      <c r="H84" s="1"/>
    </row>
  </sheetData>
  <conditionalFormatting sqref="A4:H84">
    <cfRule type="expression" dxfId="7" priority="4">
      <formula>IF(LOWER($H4)="applicable",TRUE,FALSE)</formula>
    </cfRule>
    <cfRule type="expression" dxfId="6" priority="5">
      <formula>IF(LOWER($H4)="coordinating",TRUE,FALSE)</formula>
    </cfRule>
    <cfRule type="expression" dxfId="5" priority="6">
      <formula>IF(LOWER($H4)="resolved",TRUE,FALSE)</formula>
    </cfRule>
    <cfRule type="expression" dxfId="4" priority="8">
      <formula>IF(LOWER($H4)="n/a",TRUE,FALSE)</formula>
    </cfRule>
  </conditionalFormatting>
  <conditionalFormatting sqref="H4:H84">
    <cfRule type="expression" dxfId="3" priority="1">
      <formula>IF(LOWER($H4)="resolved",TRUE,FALSE)</formula>
    </cfRule>
    <cfRule type="expression" dxfId="2" priority="2">
      <formula>IF(LOWER($H4)="coordinating",TRUE,FALSE)</formula>
    </cfRule>
    <cfRule type="expression" dxfId="1" priority="3">
      <formula>IF(LOWER($H4)="applicable",TRUE,FALSE)</formula>
    </cfRule>
    <cfRule type="expression" dxfId="0" priority="7">
      <formula>IF(LOWER($H4)="n/a",TRUE,FALSE)</formula>
    </cfRule>
  </conditionalFormatting>
  <dataValidations count="1">
    <dataValidation type="list" allowBlank="1" showInputMessage="1" showErrorMessage="1" sqref="H4:H84" xr:uid="{4A9E0157-5538-4C02-ADF9-D779BDC1C8A6}">
      <formula1>"N/A, Applicable, Coordinating, Resolved"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Chars</vt:lpstr>
      <vt:lpstr>Lists</vt:lpstr>
      <vt:lpstr>POAM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Fisher, Benjamin Standal (Ben) CIV USARMY CEPOJ (USA)</dc:creator>
  <cp:lastModifiedBy>Fisher, Benjamin Standal (Ben) CIV USARMY CEPOJ (USA)</cp:lastModifiedBy>
  <cp:lastPrinted>2025-10-06T00:46:51Z</cp:lastPrinted>
  <dcterms:created xsi:type="dcterms:W3CDTF">2025-10-03T03:53:33Z</dcterms:created>
  <dcterms:modified xsi:type="dcterms:W3CDTF">2025-11-13T04:24:52Z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older_Number">
    <vt:lpwstr/>
  </property>
  <property fmtid="{D5CDD505-2E9C-101B-9397-08002B2CF9AE}" pid="3" name="Folder_Code">
    <vt:lpwstr/>
  </property>
  <property fmtid="{D5CDD505-2E9C-101B-9397-08002B2CF9AE}" pid="4" name="Folder_Name">
    <vt:lpwstr/>
  </property>
  <property fmtid="{D5CDD505-2E9C-101B-9397-08002B2CF9AE}" pid="5" name="Folder_Description">
    <vt:lpwstr/>
  </property>
  <property fmtid="{D5CDD505-2E9C-101B-9397-08002B2CF9AE}" pid="6" name="/Folder_Name/">
    <vt:lpwstr/>
  </property>
  <property fmtid="{D5CDD505-2E9C-101B-9397-08002B2CF9AE}" pid="7" name="/Folder_Description/">
    <vt:lpwstr/>
  </property>
  <property fmtid="{D5CDD505-2E9C-101B-9397-08002B2CF9AE}" pid="8" name="Folder_Version">
    <vt:lpwstr/>
  </property>
  <property fmtid="{D5CDD505-2E9C-101B-9397-08002B2CF9AE}" pid="9" name="Folder_VersionSeq">
    <vt:lpwstr/>
  </property>
  <property fmtid="{D5CDD505-2E9C-101B-9397-08002B2CF9AE}" pid="10" name="Folder_Manager">
    <vt:lpwstr/>
  </property>
  <property fmtid="{D5CDD505-2E9C-101B-9397-08002B2CF9AE}" pid="11" name="Folder_ManagerDesc">
    <vt:lpwstr/>
  </property>
  <property fmtid="{D5CDD505-2E9C-101B-9397-08002B2CF9AE}" pid="12" name="Folder_Storage">
    <vt:lpwstr/>
  </property>
  <property fmtid="{D5CDD505-2E9C-101B-9397-08002B2CF9AE}" pid="13" name="Folder_StorageDesc">
    <vt:lpwstr/>
  </property>
  <property fmtid="{D5CDD505-2E9C-101B-9397-08002B2CF9AE}" pid="14" name="Folder_Creator">
    <vt:lpwstr/>
  </property>
  <property fmtid="{D5CDD505-2E9C-101B-9397-08002B2CF9AE}" pid="15" name="Folder_CreatorDesc">
    <vt:lpwstr/>
  </property>
  <property fmtid="{D5CDD505-2E9C-101B-9397-08002B2CF9AE}" pid="16" name="Folder_CreateDate">
    <vt:lpwstr/>
  </property>
  <property fmtid="{D5CDD505-2E9C-101B-9397-08002B2CF9AE}" pid="17" name="Folder_Updater">
    <vt:lpwstr/>
  </property>
  <property fmtid="{D5CDD505-2E9C-101B-9397-08002B2CF9AE}" pid="18" name="Folder_UpdaterDesc">
    <vt:lpwstr/>
  </property>
  <property fmtid="{D5CDD505-2E9C-101B-9397-08002B2CF9AE}" pid="19" name="Folder_UpdateDate">
    <vt:lpwstr/>
  </property>
  <property fmtid="{D5CDD505-2E9C-101B-9397-08002B2CF9AE}" pid="20" name="Document_Number">
    <vt:lpwstr/>
  </property>
  <property fmtid="{D5CDD505-2E9C-101B-9397-08002B2CF9AE}" pid="21" name="Document_Name">
    <vt:lpwstr/>
  </property>
  <property fmtid="{D5CDD505-2E9C-101B-9397-08002B2CF9AE}" pid="22" name="Document_FileName">
    <vt:lpwstr/>
  </property>
  <property fmtid="{D5CDD505-2E9C-101B-9397-08002B2CF9AE}" pid="23" name="Document_Version">
    <vt:lpwstr/>
  </property>
  <property fmtid="{D5CDD505-2E9C-101B-9397-08002B2CF9AE}" pid="24" name="Document_VersionSeq">
    <vt:lpwstr/>
  </property>
  <property fmtid="{D5CDD505-2E9C-101B-9397-08002B2CF9AE}" pid="25" name="Document_Creator">
    <vt:lpwstr/>
  </property>
  <property fmtid="{D5CDD505-2E9C-101B-9397-08002B2CF9AE}" pid="26" name="Document_CreatorDesc">
    <vt:lpwstr/>
  </property>
  <property fmtid="{D5CDD505-2E9C-101B-9397-08002B2CF9AE}" pid="27" name="Document_CreateDate">
    <vt:lpwstr/>
  </property>
  <property fmtid="{D5CDD505-2E9C-101B-9397-08002B2CF9AE}" pid="28" name="Document_Updater">
    <vt:lpwstr/>
  </property>
  <property fmtid="{D5CDD505-2E9C-101B-9397-08002B2CF9AE}" pid="29" name="Document_UpdaterDesc">
    <vt:lpwstr/>
  </property>
  <property fmtid="{D5CDD505-2E9C-101B-9397-08002B2CF9AE}" pid="30" name="Document_UpdateDate">
    <vt:lpwstr/>
  </property>
  <property fmtid="{D5CDD505-2E9C-101B-9397-08002B2CF9AE}" pid="31" name="Document_Size">
    <vt:lpwstr/>
  </property>
  <property fmtid="{D5CDD505-2E9C-101B-9397-08002B2CF9AE}" pid="32" name="Document_Storage">
    <vt:lpwstr/>
  </property>
  <property fmtid="{D5CDD505-2E9C-101B-9397-08002B2CF9AE}" pid="33" name="Document_StorageDesc">
    <vt:lpwstr/>
  </property>
  <property fmtid="{D5CDD505-2E9C-101B-9397-08002B2CF9AE}" pid="34" name="Document_Department">
    <vt:lpwstr/>
  </property>
  <property fmtid="{D5CDD505-2E9C-101B-9397-08002B2CF9AE}" pid="35" name="Document_DepartmentDesc">
    <vt:lpwstr/>
  </property>
</Properties>
</file>